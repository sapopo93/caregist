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Shortlist" sheetId="2" state="visible" r:id="rId4"/>
    <sheet name="Locatio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<sst xmlns="http://schemas.openxmlformats.org/spreadsheetml/2006/main" count="4211" uniqueCount="1944">
  <si>
    <t xml:space="preserve">CareGist territory account review</t>
  </si>
  <si>
    <t xml:space="preserve">Birmingham and Solihull. September 2026 source editions. Review copy.</t>
  </si>
  <si>
    <t xml:space="preserve">Territory</t>
  </si>
  <si>
    <t xml:space="preserve">Locations</t>
  </si>
  <si>
    <t xml:space="preserve">Birmingham</t>
  </si>
  <si>
    <t xml:space="preserve">Solihull</t>
  </si>
  <si>
    <t xml:space="preserve">Total</t>
  </si>
  <si>
    <t xml:space="preserve">Selected organisations</t>
  </si>
  <si>
    <t xml:space="preserve">How to use the pack</t>
  </si>
  <si>
    <t xml:space="preserve">Start with Shortlist: 15 providers with several local locations and 10 recent-registration accounts.</t>
  </si>
  <si>
    <t xml:space="preserve">The two routes answer different research questions. They are not a prediction of staffing demand.</t>
  </si>
  <si>
    <t xml:space="preserve">For multi-location providers, establish whether supplier decisions sit centrally or with branches.</t>
  </si>
  <si>
    <t xml:space="preserve">For recent registrations, check current operations and fit before treating the account as relevant.</t>
  </si>
  <si>
    <t xml:space="preserve">The illustrative selection criteria still need agreement with the actual buyer.</t>
  </si>
  <si>
    <t xml:space="preserve">No named decision-makers or personal contact details are included.</t>
  </si>
  <si>
    <t xml:space="preserve">Page checks confirm access and the representative location name, not every field on every branch.</t>
  </si>
  <si>
    <t xml:space="preserve">A blank rating remains blank. Not Rated is distinct from an absent field or Not Yet Inspected.</t>
  </si>
  <si>
    <t xml:space="preserve">CQC reports delayed file updates. Source edition dates are not live operational verification.</t>
  </si>
  <si>
    <t xml:space="preserve">CQC service categories can overlap. Domiciliary care may coexist with supported living.</t>
  </si>
  <si>
    <t xml:space="preserve">Sources and terms of use</t>
  </si>
  <si>
    <t xml:space="preserve">CQC care directory with filters, edition 1 September 2026; downloaded 8 September 2026.</t>
  </si>
  <si>
    <t xml:space="preserve">https://www.cqc.org.uk/system/files/2026-09/01_September_2026_HSCA_Active_Locations.ods</t>
  </si>
  <si>
    <t xml:space="preserve">CQC weekly care directory, edition 2 September 2026; downloaded 8 September 2026.</t>
  </si>
  <si>
    <t xml:space="preserve">https://www.cqc.org.uk/system/files/2026-09/02_september_2026_CQC_directory.csv</t>
  </si>
  <si>
    <t xml:space="preserve">CQC data is reused under the Open Government Licence v3.0. CareGist is independent of CQC.</t>
  </si>
  <si>
    <t xml:space="preserve">Source rows refer to the HSCA_Active_Locations sheet converted by LibreOffice; header is row 1.</t>
  </si>
  <si>
    <t xml:space="preserve">Import guidance</t>
  </si>
  <si>
    <t xml:space="preserve">Use location_id as the location key and provider_id as the provider grouping key.</t>
  </si>
  <si>
    <t xml:space="preserve">CSV fields are documented in the accompanying schema. Keep identifiers and postcodes as text.</t>
  </si>
  <si>
    <t xml:space="preserve">No live CRM import is claimed. Map fields to the selected CRM before importing.</t>
  </si>
  <si>
    <t xml:space="preserve">25 organisations to review</t>
  </si>
  <si>
    <t xml:space="preserve">Illustrative staffing-buyer criteria. Review order is not a hiring-demand score.</t>
  </si>
  <si>
    <t xml:space="preserve">Order</t>
  </si>
  <si>
    <t xml:space="preserve">Review route</t>
  </si>
  <si>
    <t xml:space="preserve">Provider organisation</t>
  </si>
  <si>
    <t xml:space="preserve">Local locations</t>
  </si>
  <si>
    <t xml:space="preserve">Service mix</t>
  </si>
  <si>
    <t xml:space="preserve">Published fact</t>
  </si>
  <si>
    <t xml:space="preserve">Reason for review</t>
  </si>
  <si>
    <t xml:space="preserve">Qualification question</t>
  </si>
  <si>
    <t xml:space="preserve">Uncertainty</t>
  </si>
  <si>
    <t xml:space="preserve">CQC evidence</t>
  </si>
  <si>
    <t xml:space="preserve">Provider ID</t>
  </si>
  <si>
    <t xml:space="preserve">Location ID</t>
  </si>
  <si>
    <t xml:space="preserve">Representative location</t>
  </si>
  <si>
    <t xml:space="preserve">Source edition</t>
  </si>
  <si>
    <t xml:space="preserve">Page checked</t>
  </si>
  <si>
    <t xml:space="preserve">Page result</t>
  </si>
  <si>
    <t xml:space="preserve">Coordinate local locations</t>
  </si>
  <si>
    <t xml:space="preserve">Advance Health Care UK Ltd</t>
  </si>
  <si>
    <t xml:space="preserve">Domiciliary care</t>
  </si>
  <si>
    <t xml:space="preserve">4 non-dormant domiciliary locations in Solihull share this provider ID; 10 appear across England.</t>
  </si>
  <si>
    <t xml:space="preserve">Assign one account owner to review Advance Health Care UK Ltd across these 4 local locations before splitting research by branch.</t>
  </si>
  <si>
    <t xml:space="preserve">For Advance Healthcare (Saxon Court) and the other local locations, is supplier selection handled by the provider or each location?</t>
  </si>
  <si>
    <t xml:space="preserve">No vacancy, staffing shortage, purchasing budget or buying intent is established. Source updates may lag.</t>
  </si>
  <si>
    <t xml:space="preserve">1-101659529</t>
  </si>
  <si>
    <t xml:space="preserve">1-20393312342</t>
  </si>
  <si>
    <t xml:space="preserve">Advance Healthcare (Saxon Court)</t>
  </si>
  <si>
    <t xml:space="preserve">MATCH</t>
  </si>
  <si>
    <t xml:space="preserve">Sevacare (UK) Limited</t>
  </si>
  <si>
    <t xml:space="preserve">4 non-dormant domiciliary locations in Birmingham share this provider ID; 5 appear across England.</t>
  </si>
  <si>
    <t xml:space="preserve">Assign one account owner to review Sevacare (UK) Limited across these 4 local locations before splitting research by branch.</t>
  </si>
  <si>
    <t xml:space="preserve">For Sevacare - Birmingham Central and the other local locations, is supplier selection handled by the provider or each location?</t>
  </si>
  <si>
    <t xml:space="preserve">1-101689471</t>
  </si>
  <si>
    <t xml:space="preserve">1-2132613650</t>
  </si>
  <si>
    <t xml:space="preserve">Sevacare - Birmingham Central</t>
  </si>
  <si>
    <t xml:space="preserve">Yourlife Management Services Limited</t>
  </si>
  <si>
    <t xml:space="preserve">4 non-dormant domiciliary locations in Birmingham, Solihull share this provider ID; 123 appear across England.</t>
  </si>
  <si>
    <t xml:space="preserve">Assign one account owner to review Yourlife Management Services Limited across these 4 local locations before splitting research by branch.</t>
  </si>
  <si>
    <t xml:space="preserve">For YourLife (Shirley) and the other local locations, is supplier selection handled by the provider or each location?</t>
  </si>
  <si>
    <t xml:space="preserve">1-172521302</t>
  </si>
  <si>
    <t xml:space="preserve">1-15348190190</t>
  </si>
  <si>
    <t xml:space="preserve">YourLife (Shirley)</t>
  </si>
  <si>
    <t xml:space="preserve">Midshires Care Limited</t>
  </si>
  <si>
    <t xml:space="preserve">3 non-dormant domiciliary locations in Birmingham, Solihull share this provider ID; 150 appear across England.</t>
  </si>
  <si>
    <t xml:space="preserve">Assign one account owner to review Midshires Care Limited across these 3 local locations before splitting research by branch.</t>
  </si>
  <si>
    <t xml:space="preserve">For Helping Hands Sutton Coldfield and the other local locations, is supplier selection handled by the provider or each location?</t>
  </si>
  <si>
    <t xml:space="preserve">1-101671690</t>
  </si>
  <si>
    <t xml:space="preserve">1-10536207398</t>
  </si>
  <si>
    <t xml:space="preserve">Helping Hands Sutton Coldfield</t>
  </si>
  <si>
    <t xml:space="preserve">Nationwide Care Services Ltd</t>
  </si>
  <si>
    <t xml:space="preserve">Domiciliary care + supported living</t>
  </si>
  <si>
    <t xml:space="preserve">3 non-dormant domiciliary locations in Birmingham share this provider ID; 5 appear across England.</t>
  </si>
  <si>
    <t xml:space="preserve">Assign one account owner to review Nationwide Care Services Ltd across these 3 local locations before splitting research by branch.</t>
  </si>
  <si>
    <t xml:space="preserve">For Nationwide Care Services (Northfield) and the other local locations, is supplier selection handled by the provider or each location? Confirm whether separate supported-living and homecare staffing arrangements apply.</t>
  </si>
  <si>
    <t xml:space="preserve">1-101640704</t>
  </si>
  <si>
    <t xml:space="preserve">1-10477635417</t>
  </si>
  <si>
    <t xml:space="preserve">Nationwide Care Services (Northfield)</t>
  </si>
  <si>
    <t xml:space="preserve">The ExtraCare Charitable Trust</t>
  </si>
  <si>
    <t xml:space="preserve">3 non-dormant domiciliary locations in Birmingham, Solihull share this provider ID; 6 appear across England.</t>
  </si>
  <si>
    <t xml:space="preserve">Assign one account owner to review The ExtraCare Charitable Trust across these 3 local locations before splitting research by branch.</t>
  </si>
  <si>
    <t xml:space="preserve">For Solihull Village and the other local locations, is supplier selection handled by the provider or each location?</t>
  </si>
  <si>
    <t xml:space="preserve">1-102642963</t>
  </si>
  <si>
    <t xml:space="preserve">1-10285717693</t>
  </si>
  <si>
    <t xml:space="preserve">Solihull Village</t>
  </si>
  <si>
    <t xml:space="preserve">Alina Homecare Services Limited</t>
  </si>
  <si>
    <t xml:space="preserve">2 non-dormant domiciliary locations in Solihull share this provider ID; 32 appear across England.</t>
  </si>
  <si>
    <t xml:space="preserve">Assign one account owner to review Alina Homecare Services Limited across these 2 local locations before splitting research by branch.</t>
  </si>
  <si>
    <t xml:space="preserve">For Alina Homecare Sutton Coldfield and the other local locations, is supplier selection handled by the provider or each location?</t>
  </si>
  <si>
    <t xml:space="preserve">1-6455105516</t>
  </si>
  <si>
    <t xml:space="preserve">1-28707271724</t>
  </si>
  <si>
    <t xml:space="preserve">Alina Homecare Sutton Coldfield</t>
  </si>
  <si>
    <t xml:space="preserve">Aspects Care Limited</t>
  </si>
  <si>
    <t xml:space="preserve">2 non-dormant domiciliary locations in Birmingham, Solihull share this provider ID; 3 appear across England.</t>
  </si>
  <si>
    <t xml:space="preserve">Assign one account owner to review Aspects Care Limited across these 2 local locations before splitting research by branch.</t>
  </si>
  <si>
    <t xml:space="preserve">For White Doves and the other local locations, is supplier selection handled by the provider or each location? Confirm whether separate supported-living and homecare staffing arrangements apply.</t>
  </si>
  <si>
    <t xml:space="preserve">1-101681607</t>
  </si>
  <si>
    <t xml:space="preserve">1-1070803341</t>
  </si>
  <si>
    <t xml:space="preserve">White Doves</t>
  </si>
  <si>
    <t xml:space="preserve">Birmingham Business Associate Ltd</t>
  </si>
  <si>
    <t xml:space="preserve">2 non-dormant domiciliary locations in Birmingham share this provider ID; 4 appear across England.</t>
  </si>
  <si>
    <t xml:space="preserve">Assign one account owner to review Birmingham Business Associate Ltd across these 2 local locations before splitting research by branch.</t>
  </si>
  <si>
    <t xml:space="preserve">For BBA Sheldon and the other local locations, is supplier selection handled by the provider or each location?</t>
  </si>
  <si>
    <t xml:space="preserve">1-131672591</t>
  </si>
  <si>
    <t xml:space="preserve">1-20173366121</t>
  </si>
  <si>
    <t xml:space="preserve">BBA Sheldon</t>
  </si>
  <si>
    <t xml:space="preserve">Goldcrest Healthcare Service Limited</t>
  </si>
  <si>
    <t xml:space="preserve">2 non-dormant domiciliary locations in Birmingham share this provider ID; 6 appear across England.</t>
  </si>
  <si>
    <t xml:space="preserve">Assign one account owner to review Goldcrest Healthcare Service Limited across these 2 local locations before splitting research by branch.</t>
  </si>
  <si>
    <t xml:space="preserve">For Goldcrest Heathcare Service (Birmingham) and the other local locations, is supplier selection handled by the provider or each location? Confirm whether separate supported-living and homecare staffing arrangements apply.</t>
  </si>
  <si>
    <t xml:space="preserve">1-3538801761</t>
  </si>
  <si>
    <t xml:space="preserve">1-15308166952</t>
  </si>
  <si>
    <t xml:space="preserve">Goldcrest Heathcare Service (Birmingham)</t>
  </si>
  <si>
    <t xml:space="preserve">IHI Care Services Limited</t>
  </si>
  <si>
    <t xml:space="preserve">2 non-dormant domiciliary locations in Birmingham share this provider ID; 2 appear across England.</t>
  </si>
  <si>
    <t xml:space="preserve">Assign one account owner to review IHI Care Services Limited across these 2 local locations before splitting research by branch.</t>
  </si>
  <si>
    <t xml:space="preserve">For IHI Care Services (South Birmingham) and the other local locations, is supplier selection handled by the provider or each location?</t>
  </si>
  <si>
    <t xml:space="preserve">1-169108875</t>
  </si>
  <si>
    <t xml:space="preserve">1-15550434100</t>
  </si>
  <si>
    <t xml:space="preserve">IHI Care Services (South Birmingham)</t>
  </si>
  <si>
    <t xml:space="preserve">NDH Care Ltd</t>
  </si>
  <si>
    <t xml:space="preserve">2 non-dormant domiciliary locations in Birmingham share this provider ID; 3 appear across England.</t>
  </si>
  <si>
    <t xml:space="preserve">Assign one account owner to review NDH Care Ltd across these 2 local locations before splitting research by branch.</t>
  </si>
  <si>
    <t xml:space="preserve">For NDH Care (LEICESTER) and the other local locations, is supplier selection handled by the provider or each location? Confirm whether separate supported-living and homecare staffing arrangements apply.</t>
  </si>
  <si>
    <t xml:space="preserve">1-1983604499</t>
  </si>
  <si>
    <t xml:space="preserve">1-10437669514</t>
  </si>
  <si>
    <t xml:space="preserve">NDH Care (LEICESTER)</t>
  </si>
  <si>
    <t xml:space="preserve">Omnia Support Limited</t>
  </si>
  <si>
    <t xml:space="preserve">2 non-dormant domiciliary locations in Birmingham, Solihull share this provider ID; 2 appear across England.</t>
  </si>
  <si>
    <t xml:space="preserve">Assign one account owner to review Omnia Support Limited across these 2 local locations before splitting research by branch.</t>
  </si>
  <si>
    <t xml:space="preserve">For Omnia Support Limited (Solihull) and the other local locations, is supplier selection handled by the provider or each location?</t>
  </si>
  <si>
    <t xml:space="preserve">1-130858161</t>
  </si>
  <si>
    <t xml:space="preserve">1-25605647286</t>
  </si>
  <si>
    <t xml:space="preserve">Omnia Support Limited (Solihull)</t>
  </si>
  <si>
    <t xml:space="preserve">Pharos Care Limited</t>
  </si>
  <si>
    <t xml:space="preserve">Assign one account owner to review Pharos Care Limited across these 2 local locations before splitting research by branch.</t>
  </si>
  <si>
    <t xml:space="preserve">For Pharos Supported Services Central and the other local locations, is supplier selection handled by the provider or each location? Confirm whether separate supported-living and homecare staffing arrangements apply.</t>
  </si>
  <si>
    <t xml:space="preserve">1-101649312</t>
  </si>
  <si>
    <t xml:space="preserve">1-25872774764</t>
  </si>
  <si>
    <t xml:space="preserve">Pharos Supported Services Central</t>
  </si>
  <si>
    <t xml:space="preserve">The Care Workshop Limited</t>
  </si>
  <si>
    <t xml:space="preserve">Assign one account owner to review The Care Workshop Limited across these 2 local locations before splitting research by branch.</t>
  </si>
  <si>
    <t xml:space="preserve">For The Care Workshop Limited and the other local locations, is supplier selection handled by the provider or each location? Confirm whether separate supported-living and homecare staffing arrangements apply.</t>
  </si>
  <si>
    <t xml:space="preserve">1-1300968947</t>
  </si>
  <si>
    <t xml:space="preserve">1-15152271370</t>
  </si>
  <si>
    <t xml:space="preserve">Review recent registration</t>
  </si>
  <si>
    <t xml:space="preserve">Oria Care Ltd</t>
  </si>
  <si>
    <t xml:space="preserve">Oria Care Ltd in Birmingham records a registration date of 2026-07-27; 2 domiciliary location(s) share this provider ID across England.</t>
  </si>
  <si>
    <t xml:space="preserve">Check whether Oria Care Ltd belongs in the buyer's account list and whether the published service mix fits the buyer's staffing specialisms.</t>
  </si>
  <si>
    <t xml:space="preserve">Is Oria Care Ltd operating the listed service mix, and how does it source its workforce?</t>
  </si>
  <si>
    <t xml:space="preserve">1-17971680520</t>
  </si>
  <si>
    <t xml:space="preserve">1-29000938515</t>
  </si>
  <si>
    <t xml:space="preserve">Synergy Support Services Ltd</t>
  </si>
  <si>
    <t xml:space="preserve">Synergy Support Services Ltd in Birmingham records a registration date of 2026-04-02; 1 domiciliary location(s) share this provider ID across England.</t>
  </si>
  <si>
    <t xml:space="preserve">Check whether Synergy Support Services Ltd belongs in the buyer's account list and whether the published service mix fits the buyer's staffing specialisms.</t>
  </si>
  <si>
    <t xml:space="preserve">Is Synergy Support Services Ltd operating the listed service mix, and how does it source its workforce? Confirm whether separate supported-living and homecare staffing arrangements apply.</t>
  </si>
  <si>
    <t xml:space="preserve">1-12035758345</t>
  </si>
  <si>
    <t xml:space="preserve">1-27510111922</t>
  </si>
  <si>
    <t xml:space="preserve">All Round Care Solutions Limited</t>
  </si>
  <si>
    <t xml:space="preserve">All Round Care Solutions Limited in Birmingham records a registration date of 2026-03-31; 1 domiciliary location(s) share this provider ID across England.</t>
  </si>
  <si>
    <t xml:space="preserve">Check whether All Round Care Solutions Limited belongs in the buyer's account list and whether the published service mix fits the buyer's staffing specialisms.</t>
  </si>
  <si>
    <t xml:space="preserve">Is All Round Care Solutions Limited operating the listed service mix, and how does it source its workforce?</t>
  </si>
  <si>
    <t xml:space="preserve">1-15524986643</t>
  </si>
  <si>
    <t xml:space="preserve">1-27481819229</t>
  </si>
  <si>
    <t xml:space="preserve">Luxuricare Ltd</t>
  </si>
  <si>
    <t xml:space="preserve">Luxuricare Ltd in Birmingham records a registration date of 2026-03-16; 1 domiciliary location(s) share this provider ID across England.</t>
  </si>
  <si>
    <t xml:space="preserve">Check whether Luxuricare Ltd belongs in the buyer's account list and whether the published service mix fits the buyer's staffing specialisms.</t>
  </si>
  <si>
    <t xml:space="preserve">Is Luxuricare Ltd operating the listed service mix, and how does it source its workforce?</t>
  </si>
  <si>
    <t xml:space="preserve">1-25072827933</t>
  </si>
  <si>
    <t xml:space="preserve">1-27095662090</t>
  </si>
  <si>
    <t xml:space="preserve">Clear Choice Care Solutions Limited</t>
  </si>
  <si>
    <t xml:space="preserve">Clear Choice Care Solutions Limited in Birmingham records a registration date of 2026-02-26; 1 domiciliary location(s) share this provider ID across England.</t>
  </si>
  <si>
    <t xml:space="preserve">Check whether Clear Choice Care Solutions Limited belongs in the buyer's account list and whether the published service mix fits the buyer's staffing specialisms.</t>
  </si>
  <si>
    <t xml:space="preserve">Is Clear Choice Care Solutions Limited operating the listed service mix, and how does it source its workforce? Confirm whether separate supported-living and homecare staffing arrangements apply.</t>
  </si>
  <si>
    <t xml:space="preserve">1-18822112432</t>
  </si>
  <si>
    <t xml:space="preserve">1-27000963245</t>
  </si>
  <si>
    <t xml:space="preserve">Baldwins Care Ltd</t>
  </si>
  <si>
    <t xml:space="preserve">Baldwins Care Ltd in Birmingham records a registration date of 2026-02-20; 1 domiciliary location(s) share this provider ID across England.</t>
  </si>
  <si>
    <t xml:space="preserve">Check whether Baldwins Care Ltd belongs in the buyer's account list and whether the published service mix fits the buyer's staffing specialisms.</t>
  </si>
  <si>
    <t xml:space="preserve">Is Baldwins Care Ltd operating the listed service mix, and how does it source its workforce?</t>
  </si>
  <si>
    <t xml:space="preserve">1-25474360399</t>
  </si>
  <si>
    <t xml:space="preserve">1-26963512859</t>
  </si>
  <si>
    <t xml:space="preserve">Express Nursing Limited</t>
  </si>
  <si>
    <t xml:space="preserve">Express Care at Home in Birmingham records a registration date of 2026-01-30; 1 domiciliary location(s) share this provider ID across England.</t>
  </si>
  <si>
    <t xml:space="preserve">Check whether Express Care at Home belongs in the buyer's account list and whether the published service mix fits the buyer's staffing specialisms.</t>
  </si>
  <si>
    <t xml:space="preserve">Is Express Care at Home operating the listed service mix, and how does it source its workforce?</t>
  </si>
  <si>
    <t xml:space="preserve">1-23303668656</t>
  </si>
  <si>
    <t xml:space="preserve">1-26682155005</t>
  </si>
  <si>
    <t xml:space="preserve">Express Care at Home</t>
  </si>
  <si>
    <t xml:space="preserve">Square Routes Care Ltd</t>
  </si>
  <si>
    <t xml:space="preserve">Square Routes Care Ltd in Birmingham records a registration date of 2026-01-26; 1 domiciliary location(s) share this provider ID across England.</t>
  </si>
  <si>
    <t xml:space="preserve">Check whether Square Routes Care Ltd belongs in the buyer's account list and whether the published service mix fits the buyer's staffing specialisms.</t>
  </si>
  <si>
    <t xml:space="preserve">Is Square Routes Care Ltd operating the listed service mix, and how does it source its workforce?</t>
  </si>
  <si>
    <t xml:space="preserve">1-18878434807</t>
  </si>
  <si>
    <t xml:space="preserve">1-26602914843</t>
  </si>
  <si>
    <t xml:space="preserve">MJ Assessments Ltd</t>
  </si>
  <si>
    <t xml:space="preserve">MJ Assessments Supported Housing in Birmingham records a registration date of 2026-01-20; 1 domiciliary location(s) share this provider ID across England.</t>
  </si>
  <si>
    <t xml:space="preserve">Check whether MJ Assessments Supported Housing belongs in the buyer's account list and whether the published service mix fits the buyer's staffing specialisms.</t>
  </si>
  <si>
    <t xml:space="preserve">Is MJ Assessments Supported Housing operating the listed service mix, and how does it source its workforce? Confirm whether separate supported-living and homecare staffing arrangements apply.</t>
  </si>
  <si>
    <t xml:space="preserve">1-20632975207</t>
  </si>
  <si>
    <t xml:space="preserve">1-24208834549</t>
  </si>
  <si>
    <t xml:space="preserve">MJ Assessments Supported Housing</t>
  </si>
  <si>
    <t xml:space="preserve">Starlight Support Services Ltd</t>
  </si>
  <si>
    <t xml:space="preserve">Starlight Support Services Ltd in Birmingham records a registration date of 2025-12-18; 3 domiciliary location(s) share this provider ID across England.</t>
  </si>
  <si>
    <t xml:space="preserve">Check whether Starlight Support Services Ltd belongs in the buyer's account list and whether the published service mix fits the buyer's staffing specialisms.</t>
  </si>
  <si>
    <t xml:space="preserve">Is Starlight Support Services Ltd operating the listed service mix, and how does it source its workforce? Confirm whether separate supported-living and homecare staffing arrangements apply.</t>
  </si>
  <si>
    <t xml:space="preserve">1-4011445850</t>
  </si>
  <si>
    <t xml:space="preserve">1-26103753760</t>
  </si>
  <si>
    <t xml:space="preserve">Birmingham and Solihull domiciliary care</t>
  </si>
  <si>
    <t xml:space="preserve">353 non-dormant locations in the 1 September edition; identity cross-check against 2 September directory.</t>
  </si>
  <si>
    <t xml:space="preserve">Location name</t>
  </si>
  <si>
    <t xml:space="preserve">Local authority</t>
  </si>
  <si>
    <t xml:space="preserve">Postcode</t>
  </si>
  <si>
    <t xml:space="preserve">Registered</t>
  </si>
  <si>
    <t xml:space="preserve">Rating as published</t>
  </si>
  <si>
    <t xml:space="preserve">Rating publication</t>
  </si>
  <si>
    <t xml:space="preserve">Inherited rating</t>
  </si>
  <si>
    <t xml:space="preserve">Service types</t>
  </si>
  <si>
    <t xml:space="preserve">Service user bands</t>
  </si>
  <si>
    <t xml:space="preserve">Supported living</t>
  </si>
  <si>
    <t xml:space="preserve">England domiciliary locations</t>
  </si>
  <si>
    <t xml:space="preserve">Territory locations</t>
  </si>
  <si>
    <t xml:space="preserve">CQC location URL</t>
  </si>
  <si>
    <t xml:space="preserve">Provider website</t>
  </si>
  <si>
    <t xml:space="preserve">Monthly edition</t>
  </si>
  <si>
    <t xml:space="preserve">Weekly cross-check</t>
  </si>
  <si>
    <t xml:space="preserve">Retrieved</t>
  </si>
  <si>
    <t xml:space="preserve">Monthly source row</t>
  </si>
  <si>
    <t xml:space="preserve">1-2375497294</t>
  </si>
  <si>
    <t xml:space="preserve">24-7 Care Services</t>
  </si>
  <si>
    <t xml:space="preserve">24-7 Care Services Birmingham Ltd</t>
  </si>
  <si>
    <t xml:space="preserve">1-2304519526</t>
  </si>
  <si>
    <t xml:space="preserve">B33 0TG</t>
  </si>
  <si>
    <t xml:space="preserve">Requires improvement</t>
  </si>
  <si>
    <t xml:space="preserve">N</t>
  </si>
  <si>
    <t xml:space="preserve">Domiciliary care service</t>
  </si>
  <si>
    <t xml:space="preserve">Dementia; Learning disabilities or autistic spectrum disorder; Older People; People with an eating disorder; Physical Disability; Sensory Impairment; Younger Adults</t>
  </si>
  <si>
    <t xml:space="preserve">1-19611241388</t>
  </si>
  <si>
    <t xml:space="preserve">3 D Care Services</t>
  </si>
  <si>
    <t xml:space="preserve">3D Care Services Limited</t>
  </si>
  <si>
    <t xml:space="preserve">1-14327593737</t>
  </si>
  <si>
    <t xml:space="preserve">B23 6JS</t>
  </si>
  <si>
    <t xml:space="preserve">Domiciliary care service; Supported living service</t>
  </si>
  <si>
    <t xml:space="preserve">Mental Health; Older People; Younger Adults</t>
  </si>
  <si>
    <t xml:space="preserve">Y</t>
  </si>
  <si>
    <t xml:space="preserve">www.3Dcareservices.com</t>
  </si>
  <si>
    <t xml:space="preserve">1-3844276590</t>
  </si>
  <si>
    <t xml:space="preserve">3D Healthcare Solutions Limited</t>
  </si>
  <si>
    <t xml:space="preserve">1-3723651868</t>
  </si>
  <si>
    <t xml:space="preserve">B76 1HL</t>
  </si>
  <si>
    <t xml:space="preserve">Not Rated</t>
  </si>
  <si>
    <t xml:space="preserve">Learning disabilities or autistic spectrum disorder; Mental Health; Older People; Physical Disability; Younger Adults</t>
  </si>
  <si>
    <t xml:space="preserve">www.3dhealthcaresolutions.co.uk</t>
  </si>
  <si>
    <t xml:space="preserve">1-2304486315</t>
  </si>
  <si>
    <t xml:space="preserve">A Peel Ltd</t>
  </si>
  <si>
    <t xml:space="preserve">A Peel Limited</t>
  </si>
  <si>
    <t xml:space="preserve">1-120628965</t>
  </si>
  <si>
    <t xml:space="preserve">B44 0HU</t>
  </si>
  <si>
    <t xml:space="preserve">Good</t>
  </si>
  <si>
    <t xml:space="preserve">Dementia; Mental Health; Older People; Physical Disability; Sensory Impairment; Younger Adults</t>
  </si>
  <si>
    <t xml:space="preserve">www.carewatch.co.uk</t>
  </si>
  <si>
    <t xml:space="preserve">1-15469636349</t>
  </si>
  <si>
    <t xml:space="preserve">AG Care Services Limited</t>
  </si>
  <si>
    <t xml:space="preserve">1-15126329319</t>
  </si>
  <si>
    <t xml:space="preserve">B9 4LW</t>
  </si>
  <si>
    <t xml:space="preserve">1-19897989282</t>
  </si>
  <si>
    <t xml:space="preserve">AH Home Care - Birmingham</t>
  </si>
  <si>
    <t xml:space="preserve">AH Home Care Limited</t>
  </si>
  <si>
    <t xml:space="preserve">1-19878134069</t>
  </si>
  <si>
    <t xml:space="preserve">B28 8JG</t>
  </si>
  <si>
    <t xml:space="preserve">Dementia; Mental Health; Older People; Physical Disability; Younger Adults</t>
  </si>
  <si>
    <t xml:space="preserve">1-14572350995</t>
  </si>
  <si>
    <t xml:space="preserve">AS Global Care Ltd</t>
  </si>
  <si>
    <t xml:space="preserve">1-13946559205</t>
  </si>
  <si>
    <t xml:space="preserve">B17 9PU</t>
  </si>
  <si>
    <t xml:space="preserve">1-18066555573</t>
  </si>
  <si>
    <t xml:space="preserve">Abane Care Limited</t>
  </si>
  <si>
    <t xml:space="preserve">1-15081345748</t>
  </si>
  <si>
    <t xml:space="preserve">B16 9LP</t>
  </si>
  <si>
    <t xml:space="preserve">Older People; Younger Adults</t>
  </si>
  <si>
    <t xml:space="preserve">www.abanecarelimited.co.uk</t>
  </si>
  <si>
    <t xml:space="preserve">1-17885055200</t>
  </si>
  <si>
    <t xml:space="preserve">Ables Community Care Ltd</t>
  </si>
  <si>
    <t xml:space="preserve">1-16428157675</t>
  </si>
  <si>
    <t xml:space="preserve">B33 0UB</t>
  </si>
  <si>
    <t xml:space="preserve">Children 0-18 years; Dementia; Mental Health; Older People; Physical Disability; Sensory Impairment; Younger Adults</t>
  </si>
  <si>
    <t xml:space="preserve">www.ables-communitycare.co.uk</t>
  </si>
  <si>
    <t xml:space="preserve">1-15912518434</t>
  </si>
  <si>
    <t xml:space="preserve">Acire Care Birmingham</t>
  </si>
  <si>
    <t xml:space="preserve">Acire Care Ltd</t>
  </si>
  <si>
    <t xml:space="preserve">1-15198148803</t>
  </si>
  <si>
    <t xml:space="preserve">B32 2RH</t>
  </si>
  <si>
    <t xml:space="preserve">Dementia; Mental Health; Older People; Younger Adults</t>
  </si>
  <si>
    <t xml:space="preserve">1-12478667909</t>
  </si>
  <si>
    <t xml:space="preserve">Cardun Care</t>
  </si>
  <si>
    <t xml:space="preserve">Active Property Agents Ltd</t>
  </si>
  <si>
    <t xml:space="preserve">1-8043692471</t>
  </si>
  <si>
    <t xml:space="preserve">B21 0AF</t>
  </si>
  <si>
    <t xml:space="preserve">Mental Health; Younger Adults</t>
  </si>
  <si>
    <t xml:space="preserve">www.activepropertyagents.com</t>
  </si>
  <si>
    <t xml:space="preserve">1-6050171556</t>
  </si>
  <si>
    <t xml:space="preserve">Activo Care</t>
  </si>
  <si>
    <t xml:space="preserve">Activo Care Limited</t>
  </si>
  <si>
    <t xml:space="preserve">1-4564281310</t>
  </si>
  <si>
    <t xml:space="preserve">B14 5EB</t>
  </si>
  <si>
    <t xml:space="preserve">Dementia; Learning disabilities or autistic spectrum disorder; Mental Health; Older People; Physical Disability; Younger Adults</t>
  </si>
  <si>
    <t xml:space="preserve">1-9786827865</t>
  </si>
  <si>
    <t xml:space="preserve">Actual Care Services Ltd</t>
  </si>
  <si>
    <t xml:space="preserve">1-8966459544</t>
  </si>
  <si>
    <t xml:space="preserve">B42 1DU</t>
  </si>
  <si>
    <t xml:space="preserve">Dementia; Learning disabilities or autistic spectrum disorder; Mental Health; Older People; Younger Adults</t>
  </si>
  <si>
    <t xml:space="preserve">1-13834761529</t>
  </si>
  <si>
    <t xml:space="preserve">Added Care Ltd</t>
  </si>
  <si>
    <t xml:space="preserve">1-9736363094</t>
  </si>
  <si>
    <t xml:space="preserve">B23 6HP</t>
  </si>
  <si>
    <t xml:space="preserve">Children 0-18 years; Learning disabilities or autistic spectrum disorder; Mental Health; Older People; Physical Disability; Younger Adults</t>
  </si>
  <si>
    <t xml:space="preserve">www.addedcarelimited.co.uk</t>
  </si>
  <si>
    <t xml:space="preserve">1-255642538</t>
  </si>
  <si>
    <t xml:space="preserve">Agape Healthcare Limited</t>
  </si>
  <si>
    <t xml:space="preserve">1-228518131</t>
  </si>
  <si>
    <t xml:space="preserve">B16 8XF</t>
  </si>
  <si>
    <t xml:space="preserve">Children 0-18 years; Dementia; Learning disabilities or autistic spectrum disorder; Mental Health; Older People; Physical Disability; Sensory Impairment</t>
  </si>
  <si>
    <t xml:space="preserve">www.agapehealthcare.co.uk</t>
  </si>
  <si>
    <t xml:space="preserve">1-2197499156</t>
  </si>
  <si>
    <t xml:space="preserve">All Care In One Ltd</t>
  </si>
  <si>
    <t xml:space="preserve">All Care In One Limited</t>
  </si>
  <si>
    <t xml:space="preserve">1-567815338</t>
  </si>
  <si>
    <t xml:space="preserve">B6 5RQ</t>
  </si>
  <si>
    <t xml:space="preserve">Dementia; Mental Health; Older People; People with an eating disorder; Physical Disability; Sensory Impairment; Younger Adults</t>
  </si>
  <si>
    <t xml:space="preserve">www.allroundcaresolutions.co.uk</t>
  </si>
  <si>
    <t xml:space="preserve">1-117409276</t>
  </si>
  <si>
    <t xml:space="preserve">All Seasons Care Limited</t>
  </si>
  <si>
    <t xml:space="preserve">1-101670571</t>
  </si>
  <si>
    <t xml:space="preserve">B14 7JQ</t>
  </si>
  <si>
    <t xml:space="preserve">Dementia; Learning disabilities or autistic spectrum disorder; Mental Health; Older People; Physical Disability; Sensory Impairment</t>
  </si>
  <si>
    <t xml:space="preserve">www.ascaregroup.com</t>
  </si>
  <si>
    <t xml:space="preserve">1-126005236</t>
  </si>
  <si>
    <t xml:space="preserve">Alpine House</t>
  </si>
  <si>
    <t xml:space="preserve">Alpine Care UK Limited</t>
  </si>
  <si>
    <t xml:space="preserve">1-101693165</t>
  </si>
  <si>
    <t xml:space="preserve">B18 6NY</t>
  </si>
  <si>
    <t xml:space="preserve">Children 0-18 years; Dementia; Learning disabilities or autistic spectrum disorder; Mental Health; Older People; Physical Disability; Sensory Impairment; Whole Population; Younger Adults</t>
  </si>
  <si>
    <t xml:space="preserve">1-12851853221</t>
  </si>
  <si>
    <t xml:space="preserve">Edmund House</t>
  </si>
  <si>
    <t xml:space="preserve">Angel of Life Limited</t>
  </si>
  <si>
    <t xml:space="preserve">1-9550523790</t>
  </si>
  <si>
    <t xml:space="preserve">B3 3AS</t>
  </si>
  <si>
    <t xml:space="preserve">Dementia; Mental Health; Older People; Physical Disability; Sensory Impairment</t>
  </si>
  <si>
    <t xml:space="preserve">www.angeloflife.co.uk</t>
  </si>
  <si>
    <t xml:space="preserve">1-3005993441</t>
  </si>
  <si>
    <t xml:space="preserve">Antoine Care LTD</t>
  </si>
  <si>
    <t xml:space="preserve">Antoine Care Ltd</t>
  </si>
  <si>
    <t xml:space="preserve">1-2885491395</t>
  </si>
  <si>
    <t xml:space="preserve">B14 6NN</t>
  </si>
  <si>
    <t xml:space="preserve">Learning disabilities or autistic spectrum disorder; Mental Health; Older People; Physical Disability; Sensory Impairment; Younger Adults</t>
  </si>
  <si>
    <t xml:space="preserve">1-11773547995</t>
  </si>
  <si>
    <t xml:space="preserve">Aspect Supported Living Limited</t>
  </si>
  <si>
    <t xml:space="preserve">1-10370366227</t>
  </si>
  <si>
    <t xml:space="preserve">B13 8JR</t>
  </si>
  <si>
    <t xml:space="preserve">Dementia; Learning disabilities or autistic spectrum disorder; Mental Health; Physical Disability; Younger Adults</t>
  </si>
  <si>
    <t xml:space="preserve">www.aspectsupportedliving.co.uk</t>
  </si>
  <si>
    <t xml:space="preserve">1-135012480</t>
  </si>
  <si>
    <t xml:space="preserve">B30 3EJ</t>
  </si>
  <si>
    <t xml:space="preserve">www.aspectscare.co.uk</t>
  </si>
  <si>
    <t xml:space="preserve">1-11064506487</t>
  </si>
  <si>
    <t xml:space="preserve">Assisted Lives (Birmingham)</t>
  </si>
  <si>
    <t xml:space="preserve">Assisted Lives Ltd</t>
  </si>
  <si>
    <t xml:space="preserve">1-287194006</t>
  </si>
  <si>
    <t xml:space="preserve">B33 8PP</t>
  </si>
  <si>
    <t xml:space="preserve">Children 0-18 years; Dementia; Learning disabilities or autistic spectrum disorder; Mental Health; Older People; People with an eating disorder; Physical Disability; Sensory Impairment; Younger Adults</t>
  </si>
  <si>
    <t xml:space="preserve">www.assistedlives.co.uk</t>
  </si>
  <si>
    <t xml:space="preserve">1-2448863376</t>
  </si>
  <si>
    <t xml:space="preserve">Home Instead Senior Care</t>
  </si>
  <si>
    <t xml:space="preserve">Assured Lifestyle Limited</t>
  </si>
  <si>
    <t xml:space="preserve">1-117003295</t>
  </si>
  <si>
    <t xml:space="preserve">B73 5UE</t>
  </si>
  <si>
    <t xml:space="preserve">Dementia; Learning disabilities or autistic spectrum disorder; Mental Health; Older People; Physical Disability; Sensory Impairment; Younger Adults</t>
  </si>
  <si>
    <t xml:space="preserve">www.homeinstead.co.uk</t>
  </si>
  <si>
    <t xml:space="preserve">1-18936674240</t>
  </si>
  <si>
    <t xml:space="preserve">Attentive Community Care LTD</t>
  </si>
  <si>
    <t xml:space="preserve">Attentive Community Care Limited</t>
  </si>
  <si>
    <t xml:space="preserve">1-15869966974</t>
  </si>
  <si>
    <t xml:space="preserve">B42 2DZ</t>
  </si>
  <si>
    <t xml:space="preserve">www.attentivecommunitycare.com</t>
  </si>
  <si>
    <t xml:space="preserve">1-4262206830</t>
  </si>
  <si>
    <t xml:space="preserve">Audley Care Ltd - Audley Care St Georges Place</t>
  </si>
  <si>
    <t xml:space="preserve">Audley Care Ltd</t>
  </si>
  <si>
    <t xml:space="preserve">1-174576986</t>
  </si>
  <si>
    <t xml:space="preserve">B15 3SH</t>
  </si>
  <si>
    <t xml:space="preserve">www.audleycare.co.uk</t>
  </si>
  <si>
    <t xml:space="preserve">1-19464572857</t>
  </si>
  <si>
    <t xml:space="preserve">Azalea Care Services Ltd</t>
  </si>
  <si>
    <t xml:space="preserve">1-17941623377</t>
  </si>
  <si>
    <t xml:space="preserve">B16 9NX</t>
  </si>
  <si>
    <t xml:space="preserve">B28 0XB</t>
  </si>
  <si>
    <t xml:space="preserve">Dementia; Older People; Physical Disability; Sensory Impairment; Younger Adults</t>
  </si>
  <si>
    <t xml:space="preserve">www.heritagehealthcare.co.uk/birminghamsouth</t>
  </si>
  <si>
    <t xml:space="preserve">1-1011039037</t>
  </si>
  <si>
    <t xml:space="preserve">Balm Care Services Limited</t>
  </si>
  <si>
    <t xml:space="preserve">1-864898519</t>
  </si>
  <si>
    <t xml:space="preserve">B31 2SU</t>
  </si>
  <si>
    <t xml:space="preserve">www.balmcareservices.com</t>
  </si>
  <si>
    <t xml:space="preserve">1-4654998035</t>
  </si>
  <si>
    <t xml:space="preserve">Baobab Care UK Limited</t>
  </si>
  <si>
    <t xml:space="preserve">1-4227809948</t>
  </si>
  <si>
    <t xml:space="preserve">B12 0NQ</t>
  </si>
  <si>
    <t xml:space="preserve">Learning disabilities or autistic spectrum disorder; Mental Health; Physical Disability; Sensory Impairment; Younger Adults</t>
  </si>
  <si>
    <t xml:space="preserve">www.baobabcare.co.uk</t>
  </si>
  <si>
    <t xml:space="preserve">1-2828593075</t>
  </si>
  <si>
    <t xml:space="preserve">Health Matters</t>
  </si>
  <si>
    <t xml:space="preserve">Bellview (UK) Ltd</t>
  </si>
  <si>
    <t xml:space="preserve">1-101648444</t>
  </si>
  <si>
    <t xml:space="preserve">B20 1DR</t>
  </si>
  <si>
    <t xml:space="preserve">1-12076992360</t>
  </si>
  <si>
    <t xml:space="preserve">Benedon Healthcare Limited</t>
  </si>
  <si>
    <t xml:space="preserve">1-2778285581</t>
  </si>
  <si>
    <t xml:space="preserve">B11 2AA</t>
  </si>
  <si>
    <t xml:space="preserve">Dementia; Learning disabilities or autistic spectrum disorder; Mental Health; Older People; People who misuse drugs and alcohol; People with an eating disorder; Physical Disability; Sensory Impairment; Younger Adults</t>
  </si>
  <si>
    <t xml:space="preserve">www.benedonhealthcare.com</t>
  </si>
  <si>
    <t xml:space="preserve">1-16953942456</t>
  </si>
  <si>
    <t xml:space="preserve">52 Blucher Street</t>
  </si>
  <si>
    <t xml:space="preserve">Bethel Innovations Ltd</t>
  </si>
  <si>
    <t xml:space="preserve">1-10649595891</t>
  </si>
  <si>
    <t xml:space="preserve">B1 1QU</t>
  </si>
  <si>
    <t xml:space="preserve">Children 0-18 years; Dementia; Mental Health; Older People; People who misuse drugs and alcohol; Physical Disability; Sensory Impairment; Younger Adults</t>
  </si>
  <si>
    <t xml:space="preserve">1-16325372876</t>
  </si>
  <si>
    <t xml:space="preserve">Arden Place</t>
  </si>
  <si>
    <t xml:space="preserve">Bethphage</t>
  </si>
  <si>
    <t xml:space="preserve">1-101665577</t>
  </si>
  <si>
    <t xml:space="preserve">B33 0NN</t>
  </si>
  <si>
    <t xml:space="preserve">www.bethphage.co.uk</t>
  </si>
  <si>
    <t xml:space="preserve">1-21723892882</t>
  </si>
  <si>
    <t xml:space="preserve">British Elderly Care Birmingham</t>
  </si>
  <si>
    <t xml:space="preserve">Better Care Global Ltd</t>
  </si>
  <si>
    <t xml:space="preserve">1-21677461970</t>
  </si>
  <si>
    <t xml:space="preserve">B75 7BG</t>
  </si>
  <si>
    <t xml:space="preserve">www.britishelderlycare.com/</t>
  </si>
  <si>
    <t xml:space="preserve">1-13007005114</t>
  </si>
  <si>
    <t xml:space="preserve">Biliv Care Limited</t>
  </si>
  <si>
    <t xml:space="preserve">1-11589180040</t>
  </si>
  <si>
    <t xml:space="preserve">B27 7SN</t>
  </si>
  <si>
    <t xml:space="preserve">Children 0-18 years; Dementia; Learning disabilities or autistic spectrum disorder; Mental Health; Older People; Physical Disability; Sensory Impairment; Younger Adults</t>
  </si>
  <si>
    <t xml:space="preserve">www.bilivcare.co.uk</t>
  </si>
  <si>
    <t xml:space="preserve">B26 2DQ</t>
  </si>
  <si>
    <t xml:space="preserve">Community based services for people with a learning disability; Community based services for people with mental health needs; Domiciliary care service; Extra Care housing services</t>
  </si>
  <si>
    <t xml:space="preserve">www.birminghambusinessassociateltd.com</t>
  </si>
  <si>
    <t xml:space="preserve">1-2702214180</t>
  </si>
  <si>
    <t xml:space="preserve">Birmingham Business Associate Limited</t>
  </si>
  <si>
    <t xml:space="preserve">B19 3QL</t>
  </si>
  <si>
    <t xml:space="preserve">1-2352192732</t>
  </si>
  <si>
    <t xml:space="preserve">North and South Home Care</t>
  </si>
  <si>
    <t xml:space="preserve">Birmingham City Council</t>
  </si>
  <si>
    <t xml:space="preserve">1-101676649</t>
  </si>
  <si>
    <t xml:space="preserve">B1 1BB</t>
  </si>
  <si>
    <t xml:space="preserve">Dementia; Learning disabilities or autistic spectrum disorder; Older People; Physical Disability; Sensory Impairment; Younger Adults</t>
  </si>
  <si>
    <t xml:space="preserve">www.birmingham.gov.uk</t>
  </si>
  <si>
    <t xml:space="preserve">1-1150868204</t>
  </si>
  <si>
    <t xml:space="preserve">Birmingham Rathbone</t>
  </si>
  <si>
    <t xml:space="preserve">Birmingham Rathbone Society</t>
  </si>
  <si>
    <t xml:space="preserve">1-101653578</t>
  </si>
  <si>
    <t xml:space="preserve">B16 8DN</t>
  </si>
  <si>
    <t xml:space="preserve">Dementia; Learning disabilities or autistic spectrum disorder; Mental Health; Older People; People with an eating disorder; Physical Disability; Sensory Impairment; Younger Adults</t>
  </si>
  <si>
    <t xml:space="preserve">1-20708018081</t>
  </si>
  <si>
    <t xml:space="preserve">Blue Diamonds Professional Services Limited Office</t>
  </si>
  <si>
    <t xml:space="preserve">Blue Diamonds Professional Services Limited</t>
  </si>
  <si>
    <t xml:space="preserve">1-5178339541</t>
  </si>
  <si>
    <t xml:space="preserve">B33 0TU</t>
  </si>
  <si>
    <t xml:space="preserve">www.bluediamondsprofessionalservices.co.uk</t>
  </si>
  <si>
    <t xml:space="preserve">1-11823060917</t>
  </si>
  <si>
    <t xml:space="preserve">Bolingo Care Birmingham Branch</t>
  </si>
  <si>
    <t xml:space="preserve">Bolingo Care Ltd</t>
  </si>
  <si>
    <t xml:space="preserve">1-11415618121</t>
  </si>
  <si>
    <t xml:space="preserve">Dementia; Mental Health; Older People; Physical Disability</t>
  </si>
  <si>
    <t xml:space="preserve">www.bolingo-care.co.uk</t>
  </si>
  <si>
    <t xml:space="preserve">1-2267490173</t>
  </si>
  <si>
    <t xml:space="preserve">Brightside Carers Ltd</t>
  </si>
  <si>
    <t xml:space="preserve">Brightside Carers Limited</t>
  </si>
  <si>
    <t xml:space="preserve">1-2190021426</t>
  </si>
  <si>
    <t xml:space="preserve">B11 2BA</t>
  </si>
  <si>
    <t xml:space="preserve">Dementia; Learning disabilities or autistic spectrum disorder; Mental Health; People who misuse drugs and alcohol; People with an eating disorder; Physical Disability; Sensory Impairment; Whole Population</t>
  </si>
  <si>
    <t xml:space="preserve">1-14836689396</t>
  </si>
  <si>
    <t xml:space="preserve">Brooksview Healthcare Ltd</t>
  </si>
  <si>
    <t xml:space="preserve">1-14029468621</t>
  </si>
  <si>
    <t xml:space="preserve">B45 9AN</t>
  </si>
  <si>
    <t xml:space="preserve">www.brooksviewhealthcare.co.uk</t>
  </si>
  <si>
    <t xml:space="preserve">1-9111017585</t>
  </si>
  <si>
    <t xml:space="preserve">CM Community Care Services Birmingham</t>
  </si>
  <si>
    <t xml:space="preserve">C M Community Care Services Limited</t>
  </si>
  <si>
    <t xml:space="preserve">1-101671495</t>
  </si>
  <si>
    <t xml:space="preserve">B23 5HD</t>
  </si>
  <si>
    <t xml:space="preserve">1-22161601405</t>
  </si>
  <si>
    <t xml:space="preserve">Arion Business Centre</t>
  </si>
  <si>
    <t xml:space="preserve">CaReach Limited</t>
  </si>
  <si>
    <t xml:space="preserve">1-18935800347</t>
  </si>
  <si>
    <t xml:space="preserve">B23 6BG</t>
  </si>
  <si>
    <t xml:space="preserve">1-6611825922</t>
  </si>
  <si>
    <t xml:space="preserve">Calvic Enterprises Ltd</t>
  </si>
  <si>
    <t xml:space="preserve">Calvic Enterprises Limited</t>
  </si>
  <si>
    <t xml:space="preserve">1-6059762992</t>
  </si>
  <si>
    <t xml:space="preserve">Children 0-18 years; Dementia; Learning disabilities or autistic spectrum disorder; Older People; Physical Disability; Sensory Impairment; Younger Adults</t>
  </si>
  <si>
    <t xml:space="preserve">www.calvic.org</t>
  </si>
  <si>
    <t xml:space="preserve">1-11140088585</t>
  </si>
  <si>
    <t xml:space="preserve">Quadrant Court</t>
  </si>
  <si>
    <t xml:space="preserve">Care &amp; Grace Ltd</t>
  </si>
  <si>
    <t xml:space="preserve">1-9768353707</t>
  </si>
  <si>
    <t xml:space="preserve">B1 1BD</t>
  </si>
  <si>
    <t xml:space="preserve">www.careandgrace.co.uk</t>
  </si>
  <si>
    <t xml:space="preserve">1-127836668</t>
  </si>
  <si>
    <t xml:space="preserve">Care 4U Services (Midlands) Ltd</t>
  </si>
  <si>
    <t xml:space="preserve">1-101648062</t>
  </si>
  <si>
    <t xml:space="preserve">B28 0BX</t>
  </si>
  <si>
    <t xml:space="preserve">Dementia; Learning disabilities or autistic spectrum disorder; Older People; Physical Disability; Sensory Impairment</t>
  </si>
  <si>
    <t xml:space="preserve">www.care4uservices.co.uk</t>
  </si>
  <si>
    <t xml:space="preserve">1-16392427958</t>
  </si>
  <si>
    <t xml:space="preserve">Care At Call</t>
  </si>
  <si>
    <t xml:space="preserve">Care At Call Ltd</t>
  </si>
  <si>
    <t xml:space="preserve">1-14970704511</t>
  </si>
  <si>
    <t xml:space="preserve">B76 1NY</t>
  </si>
  <si>
    <t xml:space="preserve">www.careatcalll.co.uk</t>
  </si>
  <si>
    <t xml:space="preserve">1-3910729651</t>
  </si>
  <si>
    <t xml:space="preserve">Care Avenues Limited</t>
  </si>
  <si>
    <t xml:space="preserve">1-101665523</t>
  </si>
  <si>
    <t xml:space="preserve">B28 9HH</t>
  </si>
  <si>
    <t xml:space="preserve">Children 0-18 years; Dementia; Learning disabilities or autistic spectrum disorder; Mental Health; Older People; Younger Adults</t>
  </si>
  <si>
    <t xml:space="preserve">1-22953020078</t>
  </si>
  <si>
    <t xml:space="preserve">Care Network</t>
  </si>
  <si>
    <t xml:space="preserve">Care Network Ltd</t>
  </si>
  <si>
    <t xml:space="preserve">1-15912757962</t>
  </si>
  <si>
    <t xml:space="preserve">B14 7SR</t>
  </si>
  <si>
    <t xml:space="preserve">Older People; Physical Disability; Younger Adults</t>
  </si>
  <si>
    <t xml:space="preserve">1-226641203</t>
  </si>
  <si>
    <t xml:space="preserve">Care Packages UK Limited</t>
  </si>
  <si>
    <t xml:space="preserve">1-209331816</t>
  </si>
  <si>
    <t xml:space="preserve">Older People</t>
  </si>
  <si>
    <t xml:space="preserve">www.carepackagesuk.co.uk</t>
  </si>
  <si>
    <t xml:space="preserve">1-12642216625</t>
  </si>
  <si>
    <t xml:space="preserve">Care Plus Direct Ltd</t>
  </si>
  <si>
    <t xml:space="preserve">Care Plus Direct Limited</t>
  </si>
  <si>
    <t xml:space="preserve">1-11995187387</t>
  </si>
  <si>
    <t xml:space="preserve">www.careplusdirect.com</t>
  </si>
  <si>
    <t xml:space="preserve">1-17927174505</t>
  </si>
  <si>
    <t xml:space="preserve">Care Service Solution Ltd</t>
  </si>
  <si>
    <t xml:space="preserve">1-16486421201</t>
  </si>
  <si>
    <t xml:space="preserve">B12 0RT</t>
  </si>
  <si>
    <t xml:space="preserve">www.careservicesolution.co.uk</t>
  </si>
  <si>
    <t xml:space="preserve">1-1597646991</t>
  </si>
  <si>
    <t xml:space="preserve">Ashmill Residential Care Home</t>
  </si>
  <si>
    <t xml:space="preserve">Care and Resolve Limited</t>
  </si>
  <si>
    <t xml:space="preserve">1-1513809410</t>
  </si>
  <si>
    <t xml:space="preserve">B20 1EA</t>
  </si>
  <si>
    <t xml:space="preserve">Care home service without nursing; Domiciliary care service</t>
  </si>
  <si>
    <t xml:space="preserve">1-2435061432</t>
  </si>
  <si>
    <t xml:space="preserve">Care2Home Ltd</t>
  </si>
  <si>
    <t xml:space="preserve">1-2373361411</t>
  </si>
  <si>
    <t xml:space="preserve">www.care2home.co.uk</t>
  </si>
  <si>
    <t xml:space="preserve">1-5353069319</t>
  </si>
  <si>
    <t xml:space="preserve">Care4Less Limited</t>
  </si>
  <si>
    <t xml:space="preserve">1-5103957526</t>
  </si>
  <si>
    <t xml:space="preserve">B16 8SP</t>
  </si>
  <si>
    <t xml:space="preserve">1-19060358552</t>
  </si>
  <si>
    <t xml:space="preserve">Carebright Living Limited</t>
  </si>
  <si>
    <t xml:space="preserve">1-17190757233</t>
  </si>
  <si>
    <t xml:space="preserve">B15 1TH</t>
  </si>
  <si>
    <t xml:space="preserve">www.carebrightliving.co.uk</t>
  </si>
  <si>
    <t xml:space="preserve">1-24674820178</t>
  </si>
  <si>
    <t xml:space="preserve">Caregenics Healthcare Limited</t>
  </si>
  <si>
    <t xml:space="preserve">1-12676299746</t>
  </si>
  <si>
    <t xml:space="preserve">B15 3BE</t>
  </si>
  <si>
    <t xml:space="preserve">www.caregenics.co.uk</t>
  </si>
  <si>
    <t xml:space="preserve">1-3090033271</t>
  </si>
  <si>
    <t xml:space="preserve">Carers Forward Head office</t>
  </si>
  <si>
    <t xml:space="preserve">Carers Forward C.I.C.</t>
  </si>
  <si>
    <t xml:space="preserve">1-2245474707</t>
  </si>
  <si>
    <t xml:space="preserve">B12 0DU</t>
  </si>
  <si>
    <t xml:space="preserve">Children 0-18 years; Learning disabilities or autistic spectrum disorder; Older People; Whole Population; Younger Adults</t>
  </si>
  <si>
    <t xml:space="preserve">www.carersforward.org.uk</t>
  </si>
  <si>
    <t xml:space="preserve">1-13512914975</t>
  </si>
  <si>
    <t xml:space="preserve">Carewell Services Ltd</t>
  </si>
  <si>
    <t xml:space="preserve">1-13044652355</t>
  </si>
  <si>
    <t xml:space="preserve">B3 1SF</t>
  </si>
  <si>
    <t xml:space="preserve">Dementia; Mental Health; Older People; People who misuse drugs and alcohol; Physical Disability; Younger Adults</t>
  </si>
  <si>
    <t xml:space="preserve">1-7383863446</t>
  </si>
  <si>
    <t xml:space="preserve">Central Carers Services</t>
  </si>
  <si>
    <t xml:space="preserve">Central Carers Limited</t>
  </si>
  <si>
    <t xml:space="preserve">1-6876685960</t>
  </si>
  <si>
    <t xml:space="preserve">B24 9PD</t>
  </si>
  <si>
    <t xml:space="preserve">Learning disabilities or autistic spectrum disorder; Mental Health; Older People; Younger Adults</t>
  </si>
  <si>
    <t xml:space="preserve">1-1495882805</t>
  </si>
  <si>
    <t xml:space="preserve">IMPACT</t>
  </si>
  <si>
    <t xml:space="preserve">Centrion Care UK Ltd</t>
  </si>
  <si>
    <t xml:space="preserve">1-232376741</t>
  </si>
  <si>
    <t xml:space="preserve">B12 0DG</t>
  </si>
  <si>
    <t xml:space="preserve">1-409194469</t>
  </si>
  <si>
    <t xml:space="preserve">Cherish Home Care Limited</t>
  </si>
  <si>
    <t xml:space="preserve">Cherish Home Care Ltd</t>
  </si>
  <si>
    <t xml:space="preserve">1-101671876</t>
  </si>
  <si>
    <t xml:space="preserve">B73 5DA</t>
  </si>
  <si>
    <t xml:space="preserve">www.cherishhomecare.co.uk</t>
  </si>
  <si>
    <t xml:space="preserve">1-13814354371</t>
  </si>
  <si>
    <t xml:space="preserve">Choice Health Care - Birmingham</t>
  </si>
  <si>
    <t xml:space="preserve">Choice Health Care Limited</t>
  </si>
  <si>
    <t xml:space="preserve">1-11996018007</t>
  </si>
  <si>
    <t xml:space="preserve">www.choice-hc.co.uk/</t>
  </si>
  <si>
    <t xml:space="preserve">1-18386788641</t>
  </si>
  <si>
    <t xml:space="preserve">Choice Support Care Ltd</t>
  </si>
  <si>
    <t xml:space="preserve">1-10840739432</t>
  </si>
  <si>
    <t xml:space="preserve">B18 4HB</t>
  </si>
  <si>
    <t xml:space="preserve">www.choicesupportcareltd.co.uk</t>
  </si>
  <si>
    <t xml:space="preserve">1-2427112311</t>
  </si>
  <si>
    <t xml:space="preserve">Choices Care Ltd (Birmingham)</t>
  </si>
  <si>
    <t xml:space="preserve">Choices Care Ltd</t>
  </si>
  <si>
    <t xml:space="preserve">1-467970437</t>
  </si>
  <si>
    <t xml:space="preserve">www.choicescare.org</t>
  </si>
  <si>
    <t xml:space="preserve">1-23236585428</t>
  </si>
  <si>
    <t xml:space="preserve">Olivet</t>
  </si>
  <si>
    <t xml:space="preserve">Christadelphian Care Homes</t>
  </si>
  <si>
    <t xml:space="preserve">1-22810884649</t>
  </si>
  <si>
    <t xml:space="preserve">B27 6AD</t>
  </si>
  <si>
    <t xml:space="preserve">Care home service with nursing; Domiciliary care service</t>
  </si>
  <si>
    <t xml:space="preserve">1-14518917943</t>
  </si>
  <si>
    <t xml:space="preserve">Clara Barton's Care Services</t>
  </si>
  <si>
    <t xml:space="preserve">Clara Barton's Care Services Ltd</t>
  </si>
  <si>
    <t xml:space="preserve">1-13931834888</t>
  </si>
  <si>
    <t xml:space="preserve">B26 3NW</t>
  </si>
  <si>
    <t xml:space="preserve">Children 0-18 years; Dementia; Learning disabilities or autistic spectrum disorder; Mental Health; Older People; Physical Disability; Younger Adults</t>
  </si>
  <si>
    <t xml:space="preserve">www.clarabartons.com</t>
  </si>
  <si>
    <t xml:space="preserve">1-1973151376</t>
  </si>
  <si>
    <t xml:space="preserve">Clarence Care Ltd</t>
  </si>
  <si>
    <t xml:space="preserve">Clarence Care Limited</t>
  </si>
  <si>
    <t xml:space="preserve">1-436724647</t>
  </si>
  <si>
    <t xml:space="preserve">B38 8RS</t>
  </si>
  <si>
    <t xml:space="preserve">Dementia; Learning disabilities or autistic spectrum disorder; Mental Health; Older People; People who misuse drugs and alcohol; People with an eating disorder; Physical Disability; Sensory Impairment</t>
  </si>
  <si>
    <t xml:space="preserve">www.clarencecare.co.uk</t>
  </si>
  <si>
    <t xml:space="preserve">1-15303501099</t>
  </si>
  <si>
    <t xml:space="preserve">10 The Green</t>
  </si>
  <si>
    <t xml:space="preserve">Clarity Care Living Ltd</t>
  </si>
  <si>
    <t xml:space="preserve">1-15018710543</t>
  </si>
  <si>
    <t xml:space="preserve">B31 5HT</t>
  </si>
  <si>
    <t xml:space="preserve">www.claritycareliving.co.uk</t>
  </si>
  <si>
    <t xml:space="preserve">B12 0NS</t>
  </si>
  <si>
    <t xml:space="preserve">www.clearchoicecaresolutions.co.uk</t>
  </si>
  <si>
    <t xml:space="preserve">1-6049488886</t>
  </si>
  <si>
    <t xml:space="preserve">Comfort Homes and Care Ltd</t>
  </si>
  <si>
    <t xml:space="preserve">Comfort Homes and Care Limited</t>
  </si>
  <si>
    <t xml:space="preserve">1-5592084952</t>
  </si>
  <si>
    <t xml:space="preserve">1-23037174785</t>
  </si>
  <si>
    <t xml:space="preserve">Compass Care Services Ltd</t>
  </si>
  <si>
    <t xml:space="preserve">1-21275256085</t>
  </si>
  <si>
    <t xml:space="preserve">www.compasscareservice.com</t>
  </si>
  <si>
    <t xml:space="preserve">1-11506491838</t>
  </si>
  <si>
    <t xml:space="preserve">Cornerstone Professional Care Ltd</t>
  </si>
  <si>
    <t xml:space="preserve">1-9352498095</t>
  </si>
  <si>
    <t xml:space="preserve">B18 7DL</t>
  </si>
  <si>
    <t xml:space="preserve">www.cornerstoneprofessionalcare.com</t>
  </si>
  <si>
    <t xml:space="preserve">1-450245368</t>
  </si>
  <si>
    <t xml:space="preserve">Littleton House</t>
  </si>
  <si>
    <t xml:space="preserve">Crowne Home Care Limited</t>
  </si>
  <si>
    <t xml:space="preserve">1-441061316</t>
  </si>
  <si>
    <t xml:space="preserve">B45 0JD</t>
  </si>
  <si>
    <t xml:space="preserve">1-350438194</t>
  </si>
  <si>
    <t xml:space="preserve">DT Care Services</t>
  </si>
  <si>
    <t xml:space="preserve">DT Care Services Ltd</t>
  </si>
  <si>
    <t xml:space="preserve">1-321248581</t>
  </si>
  <si>
    <t xml:space="preserve">B28 9HA</t>
  </si>
  <si>
    <t xml:space="preserve">Children 0-18 years; Dementia; Learning disabilities or autistic spectrum disorder; Older People; Physical Disability; Sensory Impairment</t>
  </si>
  <si>
    <t xml:space="preserve">www.dtcareservices.co.uk</t>
  </si>
  <si>
    <t xml:space="preserve">1-2300927102</t>
  </si>
  <si>
    <t xml:space="preserve">Dolphin Healthcare Services</t>
  </si>
  <si>
    <t xml:space="preserve">Delight Essential Services UK Limited</t>
  </si>
  <si>
    <t xml:space="preserve">1-2239281679</t>
  </si>
  <si>
    <t xml:space="preserve">B26 2RU</t>
  </si>
  <si>
    <t xml:space="preserve">Domiciliary care service; Extra Care housing services; Shared Lives; Supported living service</t>
  </si>
  <si>
    <t xml:space="preserve">www.dolphinhealthcare.co.uk</t>
  </si>
  <si>
    <t xml:space="preserve">1-14373841975</t>
  </si>
  <si>
    <t xml:space="preserve">Desired Care 4 U Limited Birmingham</t>
  </si>
  <si>
    <t xml:space="preserve">Desired Care 4 U Limited</t>
  </si>
  <si>
    <t xml:space="preserve">1-370843088</t>
  </si>
  <si>
    <t xml:space="preserve">B17 8JF</t>
  </si>
  <si>
    <t xml:space="preserve">www.desiredcare.co.uk</t>
  </si>
  <si>
    <t xml:space="preserve">1-1428451467</t>
  </si>
  <si>
    <t xml:space="preserve">Diverse Care Services</t>
  </si>
  <si>
    <t xml:space="preserve">Diverse Care Services Limited</t>
  </si>
  <si>
    <t xml:space="preserve">1-689614085</t>
  </si>
  <si>
    <t xml:space="preserve">www.diversecareltd.co.uk</t>
  </si>
  <si>
    <t xml:space="preserve">1-6842859284</t>
  </si>
  <si>
    <t xml:space="preserve">Diverse City Care Ltd</t>
  </si>
  <si>
    <t xml:space="preserve">1-6786316671</t>
  </si>
  <si>
    <t xml:space="preserve">B5 6BJ</t>
  </si>
  <si>
    <t xml:space="preserve">www.diversecitycare.co.uk</t>
  </si>
  <si>
    <t xml:space="preserve">1-3727554964</t>
  </si>
  <si>
    <t xml:space="preserve">Divine Intervention Home Care Limited</t>
  </si>
  <si>
    <t xml:space="preserve">1-3551501867</t>
  </si>
  <si>
    <t xml:space="preserve">www.dihomecare.co.uk</t>
  </si>
  <si>
    <t xml:space="preserve">1-2695980058</t>
  </si>
  <si>
    <t xml:space="preserve">Dwell Homecare Limited</t>
  </si>
  <si>
    <t xml:space="preserve">1-2555699700</t>
  </si>
  <si>
    <t xml:space="preserve">B14 7JG</t>
  </si>
  <si>
    <t xml:space="preserve">1-25512414515</t>
  </si>
  <si>
    <t xml:space="preserve">Ecohomes Care Ltd</t>
  </si>
  <si>
    <t xml:space="preserve">1-23104973204</t>
  </si>
  <si>
    <t xml:space="preserve">B24 9FE</t>
  </si>
  <si>
    <t xml:space="preserve">www.ecohomescare.co.uk</t>
  </si>
  <si>
    <t xml:space="preserve">1-20295193040</t>
  </si>
  <si>
    <t xml:space="preserve">Edansupport Limited</t>
  </si>
  <si>
    <t xml:space="preserve">1-18387142046</t>
  </si>
  <si>
    <t xml:space="preserve">B44 8NH</t>
  </si>
  <si>
    <t xml:space="preserve">www.edansupport.co.uk</t>
  </si>
  <si>
    <t xml:space="preserve">1-3154262922</t>
  </si>
  <si>
    <t xml:space="preserve">Elegant Living Care Office</t>
  </si>
  <si>
    <t xml:space="preserve">Elegant Living Care Ltd</t>
  </si>
  <si>
    <t xml:space="preserve">1-2980994353</t>
  </si>
  <si>
    <t xml:space="preserve">1-1588568404</t>
  </si>
  <si>
    <t xml:space="preserve">Elite Care and Support Services</t>
  </si>
  <si>
    <t xml:space="preserve">Elite Care Homes Ltd</t>
  </si>
  <si>
    <t xml:space="preserve">1-509862581</t>
  </si>
  <si>
    <t xml:space="preserve">B12 0HG</t>
  </si>
  <si>
    <t xml:space="preserve">Community health care services - Nurses Agency only; Domiciliary care service; Supported living service</t>
  </si>
  <si>
    <t xml:space="preserve">www.elitecarehomes.com</t>
  </si>
  <si>
    <t xml:space="preserve">1-562133340</t>
  </si>
  <si>
    <t xml:space="preserve">Embec Care Limited</t>
  </si>
  <si>
    <t xml:space="preserve">1-497747725</t>
  </si>
  <si>
    <t xml:space="preserve">B75 5BY</t>
  </si>
  <si>
    <t xml:space="preserve">www.embeccare.co.uk</t>
  </si>
  <si>
    <t xml:space="preserve">1-18773703134</t>
  </si>
  <si>
    <t xml:space="preserve">Empathy Care Services Birmingham</t>
  </si>
  <si>
    <t xml:space="preserve">Empathy Care Services Limited</t>
  </si>
  <si>
    <t xml:space="preserve">1-8846211889</t>
  </si>
  <si>
    <t xml:space="preserve">B45 9AH</t>
  </si>
  <si>
    <t xml:space="preserve">1-6987313564</t>
  </si>
  <si>
    <t xml:space="preserve">Epic Care Services Limited</t>
  </si>
  <si>
    <t xml:space="preserve">1-6792174541</t>
  </si>
  <si>
    <t xml:space="preserve">www.epiccareservices.uk/epic.html</t>
  </si>
  <si>
    <t xml:space="preserve">1-6037207160</t>
  </si>
  <si>
    <t xml:space="preserve">EroHealthCare Ltd</t>
  </si>
  <si>
    <t xml:space="preserve">1-5730542790</t>
  </si>
  <si>
    <t xml:space="preserve">B23 6LR</t>
  </si>
  <si>
    <t xml:space="preserve">www.erohealthcare.com</t>
  </si>
  <si>
    <t xml:space="preserve">1-9414045580</t>
  </si>
  <si>
    <t xml:space="preserve">Esmero Care Services Limited</t>
  </si>
  <si>
    <t xml:space="preserve">1-7807118531</t>
  </si>
  <si>
    <t xml:space="preserve">www.esmerocareservices.co.uk</t>
  </si>
  <si>
    <t xml:space="preserve">1-13044572799</t>
  </si>
  <si>
    <t xml:space="preserve">Evergreen Care Provider Limited</t>
  </si>
  <si>
    <t xml:space="preserve">1-2018525909</t>
  </si>
  <si>
    <t xml:space="preserve">B3 1QS</t>
  </si>
  <si>
    <t xml:space="preserve">Mental Health; Physical Disability; Sensory Impairment; Whole Population</t>
  </si>
  <si>
    <t xml:space="preserve">www.express-nursing.co.uk</t>
  </si>
  <si>
    <t xml:space="preserve">1-13634729916</t>
  </si>
  <si>
    <t xml:space="preserve">Faith &amp; Hope Ltd</t>
  </si>
  <si>
    <t xml:space="preserve">1-11457811827</t>
  </si>
  <si>
    <t xml:space="preserve">B29 5UN</t>
  </si>
  <si>
    <t xml:space="preserve">www.faithandhophc.uk</t>
  </si>
  <si>
    <t xml:space="preserve">1-18294169785</t>
  </si>
  <si>
    <t xml:space="preserve">First Active 365 Homecare</t>
  </si>
  <si>
    <t xml:space="preserve">First Active 365 Homecare Limited</t>
  </si>
  <si>
    <t xml:space="preserve">1-17026760671</t>
  </si>
  <si>
    <t xml:space="preserve">B5 4BD</t>
  </si>
  <si>
    <t xml:space="preserve">www.firstactive365.co.uk</t>
  </si>
  <si>
    <t xml:space="preserve">1-8054628056</t>
  </si>
  <si>
    <t xml:space="preserve">First Practice Healthcare Ltd</t>
  </si>
  <si>
    <t xml:space="preserve">1-144639033</t>
  </si>
  <si>
    <t xml:space="preserve">B19 3JG</t>
  </si>
  <si>
    <t xml:space="preserve">Children 0-18 years; Dementia; Learning disabilities or autistic spectrum disorder; Mental Health; Older People; People who misuse drugs and alcohol; People with an eating disorder; Physical Disability; Sensory Impairment; Younger Adults</t>
  </si>
  <si>
    <t xml:space="preserve">1-24139654155</t>
  </si>
  <si>
    <t xml:space="preserve">Four Oaks Healthcare limited</t>
  </si>
  <si>
    <t xml:space="preserve">Four Oaks Healthcare Ltd</t>
  </si>
  <si>
    <t xml:space="preserve">1-1979170299</t>
  </si>
  <si>
    <t xml:space="preserve">B24 9FD</t>
  </si>
  <si>
    <t xml:space="preserve">Community health care services - Nurses Agency only; Domiciliary care service</t>
  </si>
  <si>
    <t xml:space="preserve">www.fouroakshealthcare.co.uk</t>
  </si>
  <si>
    <t xml:space="preserve">1-120625798</t>
  </si>
  <si>
    <t xml:space="preserve">Future Care &amp; Support Service</t>
  </si>
  <si>
    <t xml:space="preserve">Future Health And Social Care Association C.I.C.</t>
  </si>
  <si>
    <t xml:space="preserve">1-101691942</t>
  </si>
  <si>
    <t xml:space="preserve">B16 8QG</t>
  </si>
  <si>
    <t xml:space="preserve">www.futurehsc.com</t>
  </si>
  <si>
    <t xml:space="preserve">1-9787406861</t>
  </si>
  <si>
    <t xml:space="preserve">GND Care Ltd</t>
  </si>
  <si>
    <t xml:space="preserve">1-9111204325</t>
  </si>
  <si>
    <t xml:space="preserve">B12 9AD</t>
  </si>
  <si>
    <t xml:space="preserve">1-19607894572</t>
  </si>
  <si>
    <t xml:space="preserve">GECKO CARE LTD</t>
  </si>
  <si>
    <t xml:space="preserve">Gecko Care Ltd</t>
  </si>
  <si>
    <t xml:space="preserve">1-18225726044</t>
  </si>
  <si>
    <t xml:space="preserve">B20 2QS</t>
  </si>
  <si>
    <t xml:space="preserve">Dementia; Mental Health; Older People; People who misuse drugs and alcohol; People with an eating disorder; Physical Disability; Sensory Impairment; Younger Adults</t>
  </si>
  <si>
    <t xml:space="preserve">1-9481783785</t>
  </si>
  <si>
    <t xml:space="preserve">Generation Healthcare Limited</t>
  </si>
  <si>
    <t xml:space="preserve">Generation Healthcare UK Limited</t>
  </si>
  <si>
    <t xml:space="preserve">1-8762069415</t>
  </si>
  <si>
    <t xml:space="preserve">www.webmail.generationhealthcare.co.uk</t>
  </si>
  <si>
    <t xml:space="preserve">1-4840431805</t>
  </si>
  <si>
    <t xml:space="preserve">Global Excellence Services Limited</t>
  </si>
  <si>
    <t xml:space="preserve">1-2858095216</t>
  </si>
  <si>
    <t xml:space="preserve">B18 7AF</t>
  </si>
  <si>
    <t xml:space="preserve">Dementia; Learning disabilities or autistic spectrum disorder; Older People; Physical Disability; Younger Adults</t>
  </si>
  <si>
    <t xml:space="preserve">1-10233651067</t>
  </si>
  <si>
    <t xml:space="preserve">Goldcrest Healthcare Service (Midlands)</t>
  </si>
  <si>
    <t xml:space="preserve">www.goldcresthealthcareservice.com</t>
  </si>
  <si>
    <t xml:space="preserve">B10 0NR</t>
  </si>
  <si>
    <t xml:space="preserve">1-18721286859</t>
  </si>
  <si>
    <t xml:space="preserve">Golden Support - Main Office</t>
  </si>
  <si>
    <t xml:space="preserve">Golden Support Limited</t>
  </si>
  <si>
    <t xml:space="preserve">1-17188695956</t>
  </si>
  <si>
    <t xml:space="preserve">www.goldensupport.co.uk</t>
  </si>
  <si>
    <t xml:space="preserve">1-17194842735</t>
  </si>
  <si>
    <t xml:space="preserve">Good Shepherd Domiciliary Care</t>
  </si>
  <si>
    <t xml:space="preserve">Good Shepherd 4 You Ltd</t>
  </si>
  <si>
    <t xml:space="preserve">1-13925432700</t>
  </si>
  <si>
    <t xml:space="preserve">Domiciliary care service; Rehabilitation services; Supported living service</t>
  </si>
  <si>
    <t xml:space="preserve">1-2110440533</t>
  </si>
  <si>
    <t xml:space="preserve">GHS - Aston</t>
  </si>
  <si>
    <t xml:space="preserve">Graceful Healthcare Services Ltd</t>
  </si>
  <si>
    <t xml:space="preserve">1-468860629</t>
  </si>
  <si>
    <t xml:space="preserve">B6 4PL</t>
  </si>
  <si>
    <t xml:space="preserve">www.myghs.uk</t>
  </si>
  <si>
    <t xml:space="preserve">1-16420866507</t>
  </si>
  <si>
    <t xml:space="preserve">Gracious Ten Healthcare LTD</t>
  </si>
  <si>
    <t xml:space="preserve">Gracious Ten Healthcare Ltd</t>
  </si>
  <si>
    <t xml:space="preserve">1-14746176601</t>
  </si>
  <si>
    <t xml:space="preserve">1-3310949311</t>
  </si>
  <si>
    <t xml:space="preserve">Ghulab Ashram</t>
  </si>
  <si>
    <t xml:space="preserve">GreenSquareAccord Limited</t>
  </si>
  <si>
    <t xml:space="preserve">1-101653596</t>
  </si>
  <si>
    <t xml:space="preserve">B28 8SR</t>
  </si>
  <si>
    <t xml:space="preserve">www.greensquareaccord.co.uk</t>
  </si>
  <si>
    <t xml:space="preserve">1-3102351987</t>
  </si>
  <si>
    <t xml:space="preserve">Guardian Supported Living Ltd</t>
  </si>
  <si>
    <t xml:space="preserve">Guardian Supported Living Limited</t>
  </si>
  <si>
    <t xml:space="preserve">1-3087758739</t>
  </si>
  <si>
    <t xml:space="preserve">B27 7YE</t>
  </si>
  <si>
    <t xml:space="preserve">Dementia; Learning disabilities or autistic spectrum disorder; Mental Health; Physical Disability; Sensory Impairment; Younger Adults</t>
  </si>
  <si>
    <t xml:space="preserve">www.guardiansl.com</t>
  </si>
  <si>
    <t xml:space="preserve">1-23017617450</t>
  </si>
  <si>
    <t xml:space="preserve">HLR 24/7 LTD BIRMINGHAM</t>
  </si>
  <si>
    <t xml:space="preserve">HLR 24 7 Ltd</t>
  </si>
  <si>
    <t xml:space="preserve">1-21296141635</t>
  </si>
  <si>
    <t xml:space="preserve">B28 8AY</t>
  </si>
  <si>
    <t xml:space="preserve">Dementia; Older People; Physical Disability; Younger Adults</t>
  </si>
  <si>
    <t xml:space="preserve">www.hlrltd.com</t>
  </si>
  <si>
    <t xml:space="preserve">1-165023071</t>
  </si>
  <si>
    <t xml:space="preserve">Hafod Care in the Community</t>
  </si>
  <si>
    <t xml:space="preserve">Hafod Care Organisation Limited</t>
  </si>
  <si>
    <t xml:space="preserve">1-101708686</t>
  </si>
  <si>
    <t xml:space="preserve">B74 2PR</t>
  </si>
  <si>
    <t xml:space="preserve">Dementia; Older People; People who misuse drugs and alcohol; Physical Disability; Sensory Impairment; Younger Adults</t>
  </si>
  <si>
    <t xml:space="preserve">1-19272909269</t>
  </si>
  <si>
    <t xml:space="preserve">Hamilton Wellness</t>
  </si>
  <si>
    <t xml:space="preserve">Hamilton Wellness Limited</t>
  </si>
  <si>
    <t xml:space="preserve">1-17967272711</t>
  </si>
  <si>
    <t xml:space="preserve">B32 2QS</t>
  </si>
  <si>
    <t xml:space="preserve">1-15866949068</t>
  </si>
  <si>
    <t xml:space="preserve">Hand of Care Ltd</t>
  </si>
  <si>
    <t xml:space="preserve">1-15010269434</t>
  </si>
  <si>
    <t xml:space="preserve">B44 0ND</t>
  </si>
  <si>
    <t xml:space="preserve">1-15047592226</t>
  </si>
  <si>
    <t xml:space="preserve">Happy Care Living</t>
  </si>
  <si>
    <t xml:space="preserve">Happy Care Living Ltd</t>
  </si>
  <si>
    <t xml:space="preserve">1-11854258778</t>
  </si>
  <si>
    <t xml:space="preserve">B23 6TE</t>
  </si>
  <si>
    <t xml:space="preserve">www.happycareliving.co.uk</t>
  </si>
  <si>
    <t xml:space="preserve">1-219868146</t>
  </si>
  <si>
    <t xml:space="preserve">Hasbury Home Care Services Limited</t>
  </si>
  <si>
    <t xml:space="preserve">Hasbury Home Care Services Ltd</t>
  </si>
  <si>
    <t xml:space="preserve">1-149194294</t>
  </si>
  <si>
    <t xml:space="preserve">B30 1DN</t>
  </si>
  <si>
    <t xml:space="preserve">1-1121614863</t>
  </si>
  <si>
    <t xml:space="preserve">Leighton House</t>
  </si>
  <si>
    <t xml:space="preserve">Headway Birmingham &amp; Solihull</t>
  </si>
  <si>
    <t xml:space="preserve">1-986606782</t>
  </si>
  <si>
    <t xml:space="preserve">B45 9SN</t>
  </si>
  <si>
    <t xml:space="preserve">Learning disabilities or autistic spectrum disorder; Physical Disability</t>
  </si>
  <si>
    <t xml:space="preserve">www.headway-wm.org.uk</t>
  </si>
  <si>
    <t xml:space="preserve">1-21725524987</t>
  </si>
  <si>
    <t xml:space="preserve">Heaven Support Services Limited</t>
  </si>
  <si>
    <t xml:space="preserve">1-16574145322</t>
  </si>
  <si>
    <t xml:space="preserve">B23 6RS</t>
  </si>
  <si>
    <t xml:space="preserve">Children 0-18 years; Learning disabilities or autistic spectrum disorder; Mental Health; Older People; Physical Disability; Sensory Impairment; Younger Adults</t>
  </si>
  <si>
    <t xml:space="preserve">www.heavensupportservicesltd.co.uk</t>
  </si>
  <si>
    <t xml:space="preserve">1-417039648</t>
  </si>
  <si>
    <t xml:space="preserve">Hebe Healthcare Limited</t>
  </si>
  <si>
    <t xml:space="preserve">1-403886198</t>
  </si>
  <si>
    <t xml:space="preserve">B17 8DP</t>
  </si>
  <si>
    <t xml:space="preserve">1-14540859231</t>
  </si>
  <si>
    <t xml:space="preserve">Henola Care Ltd</t>
  </si>
  <si>
    <t xml:space="preserve">1-11951559462</t>
  </si>
  <si>
    <t xml:space="preserve">B18 6NF</t>
  </si>
  <si>
    <t xml:space="preserve">www.henolacare.com</t>
  </si>
  <si>
    <t xml:space="preserve">1-3618718602</t>
  </si>
  <si>
    <t xml:space="preserve">Holistic Social Care Birmingham</t>
  </si>
  <si>
    <t xml:space="preserve">Holistic Social Care Services Ltd</t>
  </si>
  <si>
    <t xml:space="preserve">1-1707514984</t>
  </si>
  <si>
    <t xml:space="preserve">www.holisticsocialcare.org</t>
  </si>
  <si>
    <t xml:space="preserve">1-22156393048</t>
  </si>
  <si>
    <t xml:space="preserve">Walfinch Sutton Coldfield</t>
  </si>
  <si>
    <t xml:space="preserve">Home Sweet Care Ltd</t>
  </si>
  <si>
    <t xml:space="preserve">1-20708631678</t>
  </si>
  <si>
    <t xml:space="preserve">B75 5BT</t>
  </si>
  <si>
    <t xml:space="preserve">www.walfinch.com/branches/sutton-coldfield</t>
  </si>
  <si>
    <t xml:space="preserve">1-2255899500</t>
  </si>
  <si>
    <t xml:space="preserve">Cera Birmingham North</t>
  </si>
  <si>
    <t xml:space="preserve">Homecare4U Limited</t>
  </si>
  <si>
    <t xml:space="preserve">1-184856305</t>
  </si>
  <si>
    <t xml:space="preserve">B73 5TT</t>
  </si>
  <si>
    <t xml:space="preserve">Domiciliary care service; Extra Care housing services</t>
  </si>
  <si>
    <t xml:space="preserve">www.homecare4u.info</t>
  </si>
  <si>
    <t xml:space="preserve">1-15119779487</t>
  </si>
  <si>
    <t xml:space="preserve">House of Caring Ltd</t>
  </si>
  <si>
    <t xml:space="preserve">House Of Caring Ltd</t>
  </si>
  <si>
    <t xml:space="preserve">1-12923867212</t>
  </si>
  <si>
    <t xml:space="preserve">B12 0JU</t>
  </si>
  <si>
    <t xml:space="preserve">Children 0-18 years; Dementia; Older People; Physical Disability; Younger Adults</t>
  </si>
  <si>
    <t xml:space="preserve">www.houseofcaring.co.uk</t>
  </si>
  <si>
    <t xml:space="preserve">B14 7NG</t>
  </si>
  <si>
    <t xml:space="preserve">1-356657455</t>
  </si>
  <si>
    <t xml:space="preserve">B14 7SW</t>
  </si>
  <si>
    <t xml:space="preserve">1-6119182031</t>
  </si>
  <si>
    <t xml:space="preserve">Iconic Care Limited</t>
  </si>
  <si>
    <t xml:space="preserve">1-5800081600</t>
  </si>
  <si>
    <t xml:space="preserve">www.iconiccare.co.uk</t>
  </si>
  <si>
    <t xml:space="preserve">1-5459812347</t>
  </si>
  <si>
    <t xml:space="preserve">Impacting Lives Care and Support Limited</t>
  </si>
  <si>
    <t xml:space="preserve">1-5371687021</t>
  </si>
  <si>
    <t xml:space="preserve">B42 2TX</t>
  </si>
  <si>
    <t xml:space="preserve">www.impactinglivescs.co.uk</t>
  </si>
  <si>
    <t xml:space="preserve">1-2280337989</t>
  </si>
  <si>
    <t xml:space="preserve">Impacting Lives Limited</t>
  </si>
  <si>
    <t xml:space="preserve">1-101656854</t>
  </si>
  <si>
    <t xml:space="preserve">Learning disabilities or autistic spectrum disorder; Mental Health; Physical Disability; Younger Adults</t>
  </si>
  <si>
    <t xml:space="preserve">www.impactinglives.co.uk</t>
  </si>
  <si>
    <t xml:space="preserve">1-4933444329</t>
  </si>
  <si>
    <t xml:space="preserve">Inn Care Ltd</t>
  </si>
  <si>
    <t xml:space="preserve">Inn Care Limited</t>
  </si>
  <si>
    <t xml:space="preserve">1-4361873340</t>
  </si>
  <si>
    <t xml:space="preserve">www.inncareservices.co.uk</t>
  </si>
  <si>
    <t xml:space="preserve">1-12877967110</t>
  </si>
  <si>
    <t xml:space="preserve">Innovate Domiciliary Care Ltd</t>
  </si>
  <si>
    <t xml:space="preserve">1-11679485308</t>
  </si>
  <si>
    <t xml:space="preserve">B17 9JX</t>
  </si>
  <si>
    <t xml:space="preserve">1-11005278255</t>
  </si>
  <si>
    <t xml:space="preserve">Inspire You Care Ltd</t>
  </si>
  <si>
    <t xml:space="preserve">1-4119149401</t>
  </si>
  <si>
    <t xml:space="preserve">1-17190025195</t>
  </si>
  <si>
    <t xml:space="preserve">Inventive Care Services Ltd</t>
  </si>
  <si>
    <t xml:space="preserve">1-15226765160</t>
  </si>
  <si>
    <t xml:space="preserve">B33 9AE</t>
  </si>
  <si>
    <t xml:space="preserve">www.inventivecareservices.co.uk</t>
  </si>
  <si>
    <t xml:space="preserve">1-16954979936</t>
  </si>
  <si>
    <t xml:space="preserve">Izzy Care Solutions Limited</t>
  </si>
  <si>
    <t xml:space="preserve">Izzy Care Solutions Ltd</t>
  </si>
  <si>
    <t xml:space="preserve">1-15309385482</t>
  </si>
  <si>
    <t xml:space="preserve">1-5398974195</t>
  </si>
  <si>
    <t xml:space="preserve">Blessed Hearts Home Care</t>
  </si>
  <si>
    <t xml:space="preserve">JN Community Care Limited</t>
  </si>
  <si>
    <t xml:space="preserve">1-5061411851</t>
  </si>
  <si>
    <t xml:space="preserve">B21 0AL</t>
  </si>
  <si>
    <t xml:space="preserve">www.surecare.co.uk</t>
  </si>
  <si>
    <t xml:space="preserve">1-141984666</t>
  </si>
  <si>
    <t xml:space="preserve">Jaffray Domicillary Care Services</t>
  </si>
  <si>
    <t xml:space="preserve">Jaffray Care Society</t>
  </si>
  <si>
    <t xml:space="preserve">1-101677850</t>
  </si>
  <si>
    <t xml:space="preserve">B24 8BG</t>
  </si>
  <si>
    <t xml:space="preserve">www.jaffraycare.com</t>
  </si>
  <si>
    <t xml:space="preserve">1-15992705427</t>
  </si>
  <si>
    <t xml:space="preserve">Janros Care Services Limited</t>
  </si>
  <si>
    <t xml:space="preserve">1-15008315662</t>
  </si>
  <si>
    <t xml:space="preserve">B32 3HE</t>
  </si>
  <si>
    <t xml:space="preserve">www.janroscare.com</t>
  </si>
  <si>
    <t xml:space="preserve">1-4323018813</t>
  </si>
  <si>
    <t xml:space="preserve">Jireh Homecare</t>
  </si>
  <si>
    <t xml:space="preserve">Jireh Homecare Limited</t>
  </si>
  <si>
    <t xml:space="preserve">1-4179112098</t>
  </si>
  <si>
    <t xml:space="preserve">B27 7RS</t>
  </si>
  <si>
    <t xml:space="preserve">1-24221293924</t>
  </si>
  <si>
    <t xml:space="preserve">Jothno Care Services Ltd</t>
  </si>
  <si>
    <t xml:space="preserve">1-22008172901</t>
  </si>
  <si>
    <t xml:space="preserve">B19 2HN</t>
  </si>
  <si>
    <t xml:space="preserve">1-975689896</t>
  </si>
  <si>
    <t xml:space="preserve">Jubilee Citizens UK</t>
  </si>
  <si>
    <t xml:space="preserve">1-203731443</t>
  </si>
  <si>
    <t xml:space="preserve">B73 5TJ</t>
  </si>
  <si>
    <t xml:space="preserve">1-2582443727</t>
  </si>
  <si>
    <t xml:space="preserve">Just Call 4 Care Services</t>
  </si>
  <si>
    <t xml:space="preserve">Just Call 4 Care Services Limited</t>
  </si>
  <si>
    <t xml:space="preserve">1-119231606</t>
  </si>
  <si>
    <t xml:space="preserve">www.justcall4careservices.co.uk</t>
  </si>
  <si>
    <t xml:space="preserve">1-12724732287</t>
  </si>
  <si>
    <t xml:space="preserve">Knightley Homes GB LTD</t>
  </si>
  <si>
    <t xml:space="preserve">Knightley Homes GB Limited</t>
  </si>
  <si>
    <t xml:space="preserve">1-12008937852</t>
  </si>
  <si>
    <t xml:space="preserve">B21 9PY</t>
  </si>
  <si>
    <t xml:space="preserve">Dementia; Learning disabilities or autistic spectrum disorder; Mental Health; Older People; Sensory Impairment; Younger Adults</t>
  </si>
  <si>
    <t xml:space="preserve">1-19829057838</t>
  </si>
  <si>
    <t xml:space="preserve">Knightley Homes TW Ltd</t>
  </si>
  <si>
    <t xml:space="preserve">1-19611073149</t>
  </si>
  <si>
    <t xml:space="preserve">B3 1UD</t>
  </si>
  <si>
    <t xml:space="preserve">Mental Health; People who misuse drugs and alcohol; Sensory Impairment; Younger Adults</t>
  </si>
  <si>
    <t xml:space="preserve">1-1830121421</t>
  </si>
  <si>
    <t xml:space="preserve">Knightsbridge Care Services Limited</t>
  </si>
  <si>
    <t xml:space="preserve">1-1741081041</t>
  </si>
  <si>
    <t xml:space="preserve">B27 6EG</t>
  </si>
  <si>
    <t xml:space="preserve">Dementia; Learning disabilities or autistic spectrum disorder; Mental Health; Older People; Physical Disability</t>
  </si>
  <si>
    <t xml:space="preserve">www.knightsbridgecareservices.co.uk</t>
  </si>
  <si>
    <t xml:space="preserve">1-16443449688</t>
  </si>
  <si>
    <t xml:space="preserve">Krystal Care Services</t>
  </si>
  <si>
    <t xml:space="preserve">Krystal Care Services Ltd</t>
  </si>
  <si>
    <t xml:space="preserve">1-15162356722</t>
  </si>
  <si>
    <t xml:space="preserve">B27 7RE</t>
  </si>
  <si>
    <t xml:space="preserve">1-1914275047</t>
  </si>
  <si>
    <t xml:space="preserve">Laura Care Agency Limited</t>
  </si>
  <si>
    <t xml:space="preserve">1-1837078649</t>
  </si>
  <si>
    <t xml:space="preserve">B18 6HF</t>
  </si>
  <si>
    <t xml:space="preserve">1-21976675702</t>
  </si>
  <si>
    <t xml:space="preserve">Lexis Care Limited</t>
  </si>
  <si>
    <t xml:space="preserve">1-20632175493</t>
  </si>
  <si>
    <t xml:space="preserve">B23 6PA</t>
  </si>
  <si>
    <t xml:space="preserve">Dementia; Older People; Younger Adults</t>
  </si>
  <si>
    <t xml:space="preserve">www.lexiscareltd.co.uk/</t>
  </si>
  <si>
    <t xml:space="preserve">1-3706746912</t>
  </si>
  <si>
    <t xml:space="preserve">Limitless Home Care</t>
  </si>
  <si>
    <t xml:space="preserve">Limitless Home Care Ltd</t>
  </si>
  <si>
    <t xml:space="preserve">1-3679249919</t>
  </si>
  <si>
    <t xml:space="preserve">B73 6LP</t>
  </si>
  <si>
    <t xml:space="preserve">1-17584798725</t>
  </si>
  <si>
    <t xml:space="preserve">Bridging Specialist Care</t>
  </si>
  <si>
    <t xml:space="preserve">Lindale Homes Limited</t>
  </si>
  <si>
    <t xml:space="preserve">1-101620407</t>
  </si>
  <si>
    <t xml:space="preserve">B27 6QG</t>
  </si>
  <si>
    <t xml:space="preserve">Children 0-18 years; Dementia; Mental Health; Older People; Younger Adults</t>
  </si>
  <si>
    <t xml:space="preserve">www.lindale-homes.co.uk</t>
  </si>
  <si>
    <t xml:space="preserve">1-1594893823</t>
  </si>
  <si>
    <t xml:space="preserve">Linday Office</t>
  </si>
  <si>
    <t xml:space="preserve">Linday Multi Services Limited</t>
  </si>
  <si>
    <t xml:space="preserve">1-1455369981</t>
  </si>
  <si>
    <t xml:space="preserve">B30 3QH</t>
  </si>
  <si>
    <t xml:space="preserve">Learning disabilities or autistic spectrum disorder; Mental Health; Older People; People who misuse drugs and alcohol; Younger Adults</t>
  </si>
  <si>
    <t xml:space="preserve">www.lindaymedicareservices.com</t>
  </si>
  <si>
    <t xml:space="preserve">1-6322680797</t>
  </si>
  <si>
    <t xml:space="preserve">Linelife Care</t>
  </si>
  <si>
    <t xml:space="preserve">Linelife Care Limited</t>
  </si>
  <si>
    <t xml:space="preserve">1-3927372909</t>
  </si>
  <si>
    <t xml:space="preserve">www.linelifecare.co.uk</t>
  </si>
  <si>
    <t xml:space="preserve">1-18442860867</t>
  </si>
  <si>
    <t xml:space="preserve">Living Together Healthcare Ltd</t>
  </si>
  <si>
    <t xml:space="preserve">1-16889817875</t>
  </si>
  <si>
    <t xml:space="preserve">1-17623137726</t>
  </si>
  <si>
    <t xml:space="preserve">Living Waters Healthcare Services Limited</t>
  </si>
  <si>
    <t xml:space="preserve">1-14984140275</t>
  </si>
  <si>
    <t xml:space="preserve">www.livingwatershealthcare.co.uk</t>
  </si>
  <si>
    <t xml:space="preserve">1-123569636</t>
  </si>
  <si>
    <t xml:space="preserve">Livingwell Care - 301 Vicarage Road</t>
  </si>
  <si>
    <t xml:space="preserve">Livingwell Care Ltd</t>
  </si>
  <si>
    <t xml:space="preserve">1-101683910</t>
  </si>
  <si>
    <t xml:space="preserve">B14 7NE</t>
  </si>
  <si>
    <t xml:space="preserve">www.livingwell-care.com</t>
  </si>
  <si>
    <t xml:space="preserve">1-12611688815</t>
  </si>
  <si>
    <t xml:space="preserve">Luma Homecare</t>
  </si>
  <si>
    <t xml:space="preserve">Luma Homecare Ltd</t>
  </si>
  <si>
    <t xml:space="preserve">1-5064999004</t>
  </si>
  <si>
    <t xml:space="preserve">B13 0RJ</t>
  </si>
  <si>
    <t xml:space="preserve">www.luxuricare.com</t>
  </si>
  <si>
    <t xml:space="preserve">1-1303427504</t>
  </si>
  <si>
    <t xml:space="preserve">Clover Care</t>
  </si>
  <si>
    <t xml:space="preserve">Lynncare 2000 Limited</t>
  </si>
  <si>
    <t xml:space="preserve">1-164737499</t>
  </si>
  <si>
    <t xml:space="preserve">B34 7RD</t>
  </si>
  <si>
    <t xml:space="preserve">1-15885992116</t>
  </si>
  <si>
    <t xml:space="preserve">MA Care (Bham) Limited</t>
  </si>
  <si>
    <t xml:space="preserve">M A Care (Bham) Limited</t>
  </si>
  <si>
    <t xml:space="preserve">1-13937822405</t>
  </si>
  <si>
    <t xml:space="preserve">B18 6DA</t>
  </si>
  <si>
    <t xml:space="preserve">www.ma-carebhamltd.co.uk</t>
  </si>
  <si>
    <t xml:space="preserve">1-22162204045</t>
  </si>
  <si>
    <t xml:space="preserve">MD Care and Support Ltd</t>
  </si>
  <si>
    <t xml:space="preserve">1-20711335169</t>
  </si>
  <si>
    <t xml:space="preserve">B3 1HL</t>
  </si>
  <si>
    <t xml:space="preserve">www.prettyarmscare.co.uk/</t>
  </si>
  <si>
    <t xml:space="preserve">1-12212940780</t>
  </si>
  <si>
    <t xml:space="preserve">MH Quality Care Ltd</t>
  </si>
  <si>
    <t xml:space="preserve">1-10801404236</t>
  </si>
  <si>
    <t xml:space="preserve">B8 2AH</t>
  </si>
  <si>
    <t xml:space="preserve">B15 1TR</t>
  </si>
  <si>
    <t xml:space="preserve">Mental Health; Older People; Physical Disability; Sensory Impairment; Younger Adults</t>
  </si>
  <si>
    <t xml:space="preserve">www.mjsh.co.uk</t>
  </si>
  <si>
    <t xml:space="preserve">1-25556161312</t>
  </si>
  <si>
    <t xml:space="preserve">Walfinch Birmingham South</t>
  </si>
  <si>
    <t xml:space="preserve">MSR Homecare Birmingham Limited</t>
  </si>
  <si>
    <t xml:space="preserve">1-24113089271</t>
  </si>
  <si>
    <t xml:space="preserve">www.walfinch.com/branches/birmingham-south</t>
  </si>
  <si>
    <t xml:space="preserve">1-1554953672</t>
  </si>
  <si>
    <t xml:space="preserve">Mach Care Solutions (Birmingham)</t>
  </si>
  <si>
    <t xml:space="preserve">Mach Care Solutions Limited</t>
  </si>
  <si>
    <t xml:space="preserve">1-347932181</t>
  </si>
  <si>
    <t xml:space="preserve">B27 6QT</t>
  </si>
  <si>
    <t xml:space="preserve">www.machcaresolutions.co.uk</t>
  </si>
  <si>
    <t xml:space="preserve">1-122921933</t>
  </si>
  <si>
    <t xml:space="preserve">Home Instead Birmingham</t>
  </si>
  <si>
    <t xml:space="preserve">Maranatha Healthcare Ltd</t>
  </si>
  <si>
    <t xml:space="preserve">1-117003365</t>
  </si>
  <si>
    <t xml:space="preserve">B16 8PF</t>
  </si>
  <si>
    <t xml:space="preserve">1-4066276350</t>
  </si>
  <si>
    <t xml:space="preserve">M&amp;N Healthcare Edgbaston</t>
  </si>
  <si>
    <t xml:space="preserve">Mariana Njie Limited</t>
  </si>
  <si>
    <t xml:space="preserve">1-3749074075</t>
  </si>
  <si>
    <t xml:space="preserve">B3 3RB</t>
  </si>
  <si>
    <t xml:space="preserve">Dementia; Learning disabilities or autistic spectrum disorder; Mental Health; Older People; People who misuse drugs and alcohol; Sensory Impairment; Younger Adults</t>
  </si>
  <si>
    <t xml:space="preserve">www.mandnhealthcare.com</t>
  </si>
  <si>
    <t xml:space="preserve">1-22160077948</t>
  </si>
  <si>
    <t xml:space="preserve">Mashan Ltd</t>
  </si>
  <si>
    <t xml:space="preserve">1-21252621114</t>
  </si>
  <si>
    <t xml:space="preserve">B31 1TU</t>
  </si>
  <si>
    <t xml:space="preserve">Older People; People with an eating disorder; Younger Adults</t>
  </si>
  <si>
    <t xml:space="preserve">www.mashanltd.co</t>
  </si>
  <si>
    <t xml:space="preserve">1-2299005954</t>
  </si>
  <si>
    <t xml:space="preserve">Mcare24 Limited</t>
  </si>
  <si>
    <t xml:space="preserve">1-2120399155</t>
  </si>
  <si>
    <t xml:space="preserve">B38 9LR</t>
  </si>
  <si>
    <t xml:space="preserve">www.mcare.co.uk</t>
  </si>
  <si>
    <t xml:space="preserve">1-435362095</t>
  </si>
  <si>
    <t xml:space="preserve">Proactive Life Midlands</t>
  </si>
  <si>
    <t xml:space="preserve">Med Care Home Services Limited</t>
  </si>
  <si>
    <t xml:space="preserve">1-413158984</t>
  </si>
  <si>
    <t xml:space="preserve">B18 5NE</t>
  </si>
  <si>
    <t xml:space="preserve">1-12959145803</t>
  </si>
  <si>
    <t xml:space="preserve">Melru Healthcare Limited</t>
  </si>
  <si>
    <t xml:space="preserve">1-12521672757</t>
  </si>
  <si>
    <t xml:space="preserve">www.melruhealthcare.co.uk</t>
  </si>
  <si>
    <t xml:space="preserve">1-12142386437</t>
  </si>
  <si>
    <t xml:space="preserve">Cobalt Square</t>
  </si>
  <si>
    <t xml:space="preserve">Mid-View Healthcare Ltd</t>
  </si>
  <si>
    <t xml:space="preserve">1-11884475456</t>
  </si>
  <si>
    <t xml:space="preserve">Learning disabilities or autistic spectrum disorder</t>
  </si>
  <si>
    <t xml:space="preserve">www.mid-viewhealthcare.co.uk</t>
  </si>
  <si>
    <t xml:space="preserve">1-469910143</t>
  </si>
  <si>
    <t xml:space="preserve">Midland Care (UK) Ltd</t>
  </si>
  <si>
    <t xml:space="preserve">1-461448201</t>
  </si>
  <si>
    <t xml:space="preserve">B11 4EH</t>
  </si>
  <si>
    <t xml:space="preserve">Outstanding</t>
  </si>
  <si>
    <t xml:space="preserve">Dementia; Learning disabilities or autistic spectrum disorder; Physical Disability; Younger Adults</t>
  </si>
  <si>
    <t xml:space="preserve">www.midlandcareuk.com</t>
  </si>
  <si>
    <t xml:space="preserve">1-2257875795</t>
  </si>
  <si>
    <t xml:space="preserve">Midland Care Support &amp; Enablement Ltd</t>
  </si>
  <si>
    <t xml:space="preserve">1-2197935584</t>
  </si>
  <si>
    <t xml:space="preserve">B24 9QR</t>
  </si>
  <si>
    <t xml:space="preserve">www.shapcotts-acountants.co.uk</t>
  </si>
  <si>
    <t xml:space="preserve">1-684878006</t>
  </si>
  <si>
    <t xml:space="preserve">Midland Mencap</t>
  </si>
  <si>
    <t xml:space="preserve">1-101653605</t>
  </si>
  <si>
    <t xml:space="preserve">B32 3BZ</t>
  </si>
  <si>
    <t xml:space="preserve">www.midlandmencap.org.uk</t>
  </si>
  <si>
    <t xml:space="preserve">1-4590773082</t>
  </si>
  <si>
    <t xml:space="preserve">Midlands Medicare Agency Ltd</t>
  </si>
  <si>
    <t xml:space="preserve">1-4065943094</t>
  </si>
  <si>
    <t xml:space="preserve">B12 0NL</t>
  </si>
  <si>
    <t xml:space="preserve">www.midlandsmedicareagency.co.uk</t>
  </si>
  <si>
    <t xml:space="preserve">B72 1QF</t>
  </si>
  <si>
    <t xml:space="preserve">www.helpinghandshomecare.co.uk</t>
  </si>
  <si>
    <t xml:space="preserve">1-6271803442</t>
  </si>
  <si>
    <t xml:space="preserve">Helping Hands Birmingham</t>
  </si>
  <si>
    <t xml:space="preserve">B17 9PP</t>
  </si>
  <si>
    <t xml:space="preserve">1-2844873864</t>
  </si>
  <si>
    <t xml:space="preserve">Midway Supported Services Warwickshire</t>
  </si>
  <si>
    <t xml:space="preserve">Midway Care Ltd</t>
  </si>
  <si>
    <t xml:space="preserve">1-101693191</t>
  </si>
  <si>
    <t xml:space="preserve">B27 6RT</t>
  </si>
  <si>
    <t xml:space="preserve">www.midwaycaregroup.co.uk</t>
  </si>
  <si>
    <t xml:space="preserve">1-16413487310</t>
  </si>
  <si>
    <t xml:space="preserve">MHC Nursing and Care Services</t>
  </si>
  <si>
    <t xml:space="preserve">Mineral Healthcare Limited</t>
  </si>
  <si>
    <t xml:space="preserve">1-14962476049</t>
  </si>
  <si>
    <t xml:space="preserve">B31 2TS</t>
  </si>
  <si>
    <t xml:space="preserve">Community healthcare service; Domiciliary care service; Supported living service</t>
  </si>
  <si>
    <t xml:space="preserve">www.mineralhealthcare.co.uk</t>
  </si>
  <si>
    <t xml:space="preserve">1-2694955657</t>
  </si>
  <si>
    <t xml:space="preserve">Cayon Care Service</t>
  </si>
  <si>
    <t xml:space="preserve">Miss Petronella Manners</t>
  </si>
  <si>
    <t xml:space="preserve">1-101709530</t>
  </si>
  <si>
    <t xml:space="preserve">Dementia; Older People; Physical Disability</t>
  </si>
  <si>
    <t xml:space="preserve">1-22950841428</t>
  </si>
  <si>
    <t xml:space="preserve">Morgann Social Care Ltd</t>
  </si>
  <si>
    <t xml:space="preserve">1-18197606081</t>
  </si>
  <si>
    <t xml:space="preserve">www.morgann.org</t>
  </si>
  <si>
    <t xml:space="preserve">1-2041181060</t>
  </si>
  <si>
    <t xml:space="preserve">Excellence Healthcare</t>
  </si>
  <si>
    <t xml:space="preserve">Mr Adekunle Abayomi Kalejaiye</t>
  </si>
  <si>
    <t xml:space="preserve">1-1994664093</t>
  </si>
  <si>
    <t xml:space="preserve">www.excellencehealthcare.co.uk</t>
  </si>
  <si>
    <t xml:space="preserve">1-131393780</t>
  </si>
  <si>
    <t xml:space="preserve">One Stop Care Solution</t>
  </si>
  <si>
    <t xml:space="preserve">Mr Amroz Khan</t>
  </si>
  <si>
    <t xml:space="preserve">1-101722088</t>
  </si>
  <si>
    <t xml:space="preserve">B20 3JQ</t>
  </si>
  <si>
    <t xml:space="preserve">www.onestopcaresolution.co.uk</t>
  </si>
  <si>
    <t xml:space="preserve">1-10432063961</t>
  </si>
  <si>
    <t xml:space="preserve">Nexus Care Services</t>
  </si>
  <si>
    <t xml:space="preserve">Mr John Court</t>
  </si>
  <si>
    <t xml:space="preserve">1-2896285408</t>
  </si>
  <si>
    <t xml:space="preserve">B74 2LZ</t>
  </si>
  <si>
    <t xml:space="preserve">www.nexuscareservices.co.uk</t>
  </si>
  <si>
    <t xml:space="preserve">1-10649953173</t>
  </si>
  <si>
    <t xml:space="preserve">Mulbury Care Services Limited</t>
  </si>
  <si>
    <t xml:space="preserve">1-9774166358</t>
  </si>
  <si>
    <t xml:space="preserve">Dementia; Learning disabilities or autistic spectrum disorder; Mental Health; Older People; People who misuse drugs and alcohol; Physical Disability; Younger Adults</t>
  </si>
  <si>
    <t xml:space="preserve">1-10530951539</t>
  </si>
  <si>
    <t xml:space="preserve">Multicare Group Ltd</t>
  </si>
  <si>
    <t xml:space="preserve">1-9654187694</t>
  </si>
  <si>
    <t xml:space="preserve">www.multicaregroup.co.uk</t>
  </si>
  <si>
    <t xml:space="preserve">1-16487698296</t>
  </si>
  <si>
    <t xml:space="preserve">Muve Homecare Birmingham</t>
  </si>
  <si>
    <t xml:space="preserve">Muve Healthcare Ltd</t>
  </si>
  <si>
    <t xml:space="preserve">1-16323586426</t>
  </si>
  <si>
    <t xml:space="preserve">Children 0-18 years; Learning disabilities or autistic spectrum disorder; Mental Health; Older People; Younger Adults</t>
  </si>
  <si>
    <t xml:space="preserve">www.muvehomecare.com</t>
  </si>
  <si>
    <t xml:space="preserve">1-2054699466</t>
  </si>
  <si>
    <t xml:space="preserve">B31 3AU</t>
  </si>
  <si>
    <t xml:space="preserve">www.nationwidecare.org</t>
  </si>
  <si>
    <t xml:space="preserve">1-1468818119</t>
  </si>
  <si>
    <t xml:space="preserve">Nationwide Care Services Limited (Birmingham and Solihull)</t>
  </si>
  <si>
    <t xml:space="preserve">B25 8EP</t>
  </si>
  <si>
    <t xml:space="preserve">Children 0-18 years; Dementia; Learning disabilities or autistic spectrum disorder; Mental Health; Physical Disability; Sensory Impairment; Younger Adults</t>
  </si>
  <si>
    <t xml:space="preserve">1-3959898570</t>
  </si>
  <si>
    <t xml:space="preserve">Nationwide Care Services (Erdington)</t>
  </si>
  <si>
    <t xml:space="preserve">B23 5TE</t>
  </si>
  <si>
    <t xml:space="preserve">1-13928160047</t>
  </si>
  <si>
    <t xml:space="preserve">Neo Community Services</t>
  </si>
  <si>
    <t xml:space="preserve">1-9588001079</t>
  </si>
  <si>
    <t xml:space="preserve">Children 0-18 years; Learning disabilities or autistic spectrum disorder; Older People; People who misuse drugs and alcohol; Physical Disability; Younger Adults</t>
  </si>
  <si>
    <t xml:space="preserve">www.neocommunityservices.co.uk</t>
  </si>
  <si>
    <t xml:space="preserve">1-18736752790</t>
  </si>
  <si>
    <t xml:space="preserve">New Era Care Solutions - Main Office</t>
  </si>
  <si>
    <t xml:space="preserve">New Era Care Solutions Ltd</t>
  </si>
  <si>
    <t xml:space="preserve">1-17193919425</t>
  </si>
  <si>
    <t xml:space="preserve">Children 0-18 years; Dementia; Mental Health; Older People; People who misuse drugs and alcohol; People with an eating disorder; Physical Disability; Sensory Impairment; Younger Adults</t>
  </si>
  <si>
    <t xml:space="preserve">1-12560780076</t>
  </si>
  <si>
    <t xml:space="preserve">Home Heroes</t>
  </si>
  <si>
    <t xml:space="preserve">New Outlook Housing Association Limited</t>
  </si>
  <si>
    <t xml:space="preserve">1-101653525</t>
  </si>
  <si>
    <t xml:space="preserve">B17 9AP</t>
  </si>
  <si>
    <t xml:space="preserve">www.newoutlookha.org</t>
  </si>
  <si>
    <t xml:space="preserve">1-19896780355</t>
  </si>
  <si>
    <t xml:space="preserve">OHGB Ltd</t>
  </si>
  <si>
    <t xml:space="preserve">1-18737463042</t>
  </si>
  <si>
    <t xml:space="preserve">1-9068205346</t>
  </si>
  <si>
    <t xml:space="preserve">Obatos Care Services Limited</t>
  </si>
  <si>
    <t xml:space="preserve">1-8546758068</t>
  </si>
  <si>
    <t xml:space="preserve">B18 6BA</t>
  </si>
  <si>
    <t xml:space="preserve">www.obatocareservices.co.uk</t>
  </si>
  <si>
    <t xml:space="preserve">1-2128040235</t>
  </si>
  <si>
    <t xml:space="preserve">Oceans Care Services Limited</t>
  </si>
  <si>
    <t xml:space="preserve">Oceans Care Services Ltd</t>
  </si>
  <si>
    <t xml:space="preserve">1-1643799468</t>
  </si>
  <si>
    <t xml:space="preserve">www.oceanscare.co.uk</t>
  </si>
  <si>
    <t xml:space="preserve">1-13059199589</t>
  </si>
  <si>
    <t xml:space="preserve">Omnia Support Limited (Northfield)</t>
  </si>
  <si>
    <t xml:space="preserve">B31 2NQ</t>
  </si>
  <si>
    <t xml:space="preserve">1-9407249785</t>
  </si>
  <si>
    <t xml:space="preserve">Orchid Supported Living - Birmingham</t>
  </si>
  <si>
    <t xml:space="preserve">Orchid Supported Living Limited</t>
  </si>
  <si>
    <t xml:space="preserve">1-8777158789</t>
  </si>
  <si>
    <t xml:space="preserve">www.orchidsl.co.uk</t>
  </si>
  <si>
    <t xml:space="preserve">1-18480814981</t>
  </si>
  <si>
    <t xml:space="preserve">Orcone Care Ltd</t>
  </si>
  <si>
    <t xml:space="preserve">1-9151892805</t>
  </si>
  <si>
    <t xml:space="preserve">B20 3DE</t>
  </si>
  <si>
    <t xml:space="preserve">www.orconecare.com</t>
  </si>
  <si>
    <t xml:space="preserve">B1 2JB</t>
  </si>
  <si>
    <t xml:space="preserve">Children 0-18 years; Dementia; Older People; Physical Disability; Sensory Impairment; Younger Adults</t>
  </si>
  <si>
    <t xml:space="preserve">www.oria.care</t>
  </si>
  <si>
    <t xml:space="preserve">1-13943736517</t>
  </si>
  <si>
    <t xml:space="preserve">Orion Healthcare Solutions Ltd</t>
  </si>
  <si>
    <t xml:space="preserve">1-13625292220</t>
  </si>
  <si>
    <t xml:space="preserve">1-3769281126</t>
  </si>
  <si>
    <t xml:space="preserve">Otang Care Limited</t>
  </si>
  <si>
    <t xml:space="preserve">1-3745359990</t>
  </si>
  <si>
    <t xml:space="preserve">www.otangcare.co.uk</t>
  </si>
  <si>
    <t xml:space="preserve">1-2344486531</t>
  </si>
  <si>
    <t xml:space="preserve">PBL Care Limited</t>
  </si>
  <si>
    <t xml:space="preserve">1-2034431617</t>
  </si>
  <si>
    <t xml:space="preserve">B12 0QR</t>
  </si>
  <si>
    <t xml:space="preserve">1-8326168146</t>
  </si>
  <si>
    <t xml:space="preserve">PSA Home Care Ltd</t>
  </si>
  <si>
    <t xml:space="preserve">1-7264530439</t>
  </si>
  <si>
    <t xml:space="preserve">B29 6QL</t>
  </si>
  <si>
    <t xml:space="preserve">www.psahomecare.co.uk</t>
  </si>
  <si>
    <t xml:space="preserve">1-7089203561</t>
  </si>
  <si>
    <t xml:space="preserve">Passion 4 Care</t>
  </si>
  <si>
    <t xml:space="preserve">Passion 4 Care Ltd</t>
  </si>
  <si>
    <t xml:space="preserve">1-6483664332</t>
  </si>
  <si>
    <t xml:space="preserve">B23 6UG</t>
  </si>
  <si>
    <t xml:space="preserve">www.passion4care.co.uk</t>
  </si>
  <si>
    <t xml:space="preserve">1-6401041158</t>
  </si>
  <si>
    <t xml:space="preserve">Peacocks Care Services Limited</t>
  </si>
  <si>
    <t xml:space="preserve">Peacocks Care Services Ltd</t>
  </si>
  <si>
    <t xml:space="preserve">1-6064199460</t>
  </si>
  <si>
    <t xml:space="preserve">B12 0LD</t>
  </si>
  <si>
    <t xml:space="preserve">1-588159967</t>
  </si>
  <si>
    <t xml:space="preserve">Pharos Black Country</t>
  </si>
  <si>
    <t xml:space="preserve">Children 0-18 years; Learning disabilities or autistic spectrum disorder; Mental Health; Younger Adults</t>
  </si>
  <si>
    <t xml:space="preserve">1-8366376267</t>
  </si>
  <si>
    <t xml:space="preserve">Phemacare Ltd</t>
  </si>
  <si>
    <t xml:space="preserve">1-238349478</t>
  </si>
  <si>
    <t xml:space="preserve">B32 2AL</t>
  </si>
  <si>
    <t xml:space="preserve">www.phemacare.com</t>
  </si>
  <si>
    <t xml:space="preserve">1-4247041385</t>
  </si>
  <si>
    <t xml:space="preserve">Precious Homes Birmingham</t>
  </si>
  <si>
    <t xml:space="preserve">Precious Homes Limited</t>
  </si>
  <si>
    <t xml:space="preserve">1-101669587</t>
  </si>
  <si>
    <t xml:space="preserve">B14 7AP</t>
  </si>
  <si>
    <t xml:space="preserve">Learning disabilities or autistic spectrum disorder; Mental Health; Younger Adults</t>
  </si>
  <si>
    <t xml:space="preserve">www.precious-homes.com</t>
  </si>
  <si>
    <t xml:space="preserve">1-340793978</t>
  </si>
  <si>
    <t xml:space="preserve">Premium Community Care Ltd</t>
  </si>
  <si>
    <t xml:space="preserve">1-327051192</t>
  </si>
  <si>
    <t xml:space="preserve">B25 8UR</t>
  </si>
  <si>
    <t xml:space="preserve">Dementia; Older People; People who misuse drugs and alcohol; Physical Disability; Sensory Impairment</t>
  </si>
  <si>
    <t xml:space="preserve">1-14157686989</t>
  </si>
  <si>
    <t xml:space="preserve">Prime Way Care Ltd Birmingham</t>
  </si>
  <si>
    <t xml:space="preserve">Prime Way Care Ltd</t>
  </si>
  <si>
    <t xml:space="preserve">1-2018820484</t>
  </si>
  <si>
    <t xml:space="preserve">www.primewaycare.com</t>
  </si>
  <si>
    <t xml:space="preserve">1-3129466975</t>
  </si>
  <si>
    <t xml:space="preserve">Primera Assisted Living Limited</t>
  </si>
  <si>
    <t xml:space="preserve">1-939458687</t>
  </si>
  <si>
    <t xml:space="preserve">www.primerahealthcare.co.uk</t>
  </si>
  <si>
    <t xml:space="preserve">1-2442393619</t>
  </si>
  <si>
    <t xml:space="preserve">Priority Plus Ltd</t>
  </si>
  <si>
    <t xml:space="preserve">Priority Plus Limited</t>
  </si>
  <si>
    <t xml:space="preserve">1-192459822</t>
  </si>
  <si>
    <t xml:space="preserve">www.priorityplusnursing.co.uk</t>
  </si>
  <si>
    <t xml:space="preserve">1-18392548723</t>
  </si>
  <si>
    <t xml:space="preserve">Priory Care Ltd</t>
  </si>
  <si>
    <t xml:space="preserve">1-17130856995</t>
  </si>
  <si>
    <t xml:space="preserve">B10 0HJ</t>
  </si>
  <si>
    <t xml:space="preserve">www.priorycare.co.uk</t>
  </si>
  <si>
    <t xml:space="preserve">1-113482884</t>
  </si>
  <si>
    <t xml:space="preserve">Proline Care Limited</t>
  </si>
  <si>
    <t xml:space="preserve">1-101675549</t>
  </si>
  <si>
    <t xml:space="preserve">B2 4EU</t>
  </si>
  <si>
    <t xml:space="preserve">www.proline.org.uk</t>
  </si>
  <si>
    <t xml:space="preserve">1-10217283308</t>
  </si>
  <si>
    <t xml:space="preserve">Pure Care Support Birmingham</t>
  </si>
  <si>
    <t xml:space="preserve">Pure Care Support Limited</t>
  </si>
  <si>
    <t xml:space="preserve">1-117003246</t>
  </si>
  <si>
    <t xml:space="preserve">B15 3ES</t>
  </si>
  <si>
    <t xml:space="preserve">1-13586930697</t>
  </si>
  <si>
    <t xml:space="preserve">QUALITY LIVING CARE LIMITED</t>
  </si>
  <si>
    <t xml:space="preserve">Quality Living Care Limited</t>
  </si>
  <si>
    <t xml:space="preserve">1-13239091499</t>
  </si>
  <si>
    <t xml:space="preserve">B20 1JA</t>
  </si>
  <si>
    <t xml:space="preserve">Inadequate</t>
  </si>
  <si>
    <t xml:space="preserve">www.qualitylivingcare.co.uk</t>
  </si>
  <si>
    <t xml:space="preserve">1-6923684250</t>
  </si>
  <si>
    <t xml:space="preserve">Queensway Homes Ltd</t>
  </si>
  <si>
    <t xml:space="preserve">1-5926903106</t>
  </si>
  <si>
    <t xml:space="preserve">B30 2BT</t>
  </si>
  <si>
    <t xml:space="preserve">www.ncpconsultancy.com</t>
  </si>
  <si>
    <t xml:space="preserve">1-19881569785</t>
  </si>
  <si>
    <t xml:space="preserve">Bluebird Care (Sutton Coldfield &amp; Birmingham East)</t>
  </si>
  <si>
    <t xml:space="preserve">R D (Bromsgrove) Limited</t>
  </si>
  <si>
    <t xml:space="preserve">1-119231138</t>
  </si>
  <si>
    <t xml:space="preserve">B35 6LJ</t>
  </si>
  <si>
    <t xml:space="preserve">www.bluebirdcare.co.uk</t>
  </si>
  <si>
    <t xml:space="preserve">1-5518575057</t>
  </si>
  <si>
    <t xml:space="preserve">Radiant 247 Ltd</t>
  </si>
  <si>
    <t xml:space="preserve">Radiant 247 Limited</t>
  </si>
  <si>
    <t xml:space="preserve">1-5286447707</t>
  </si>
  <si>
    <t xml:space="preserve">www.radiant247.co.uk</t>
  </si>
  <si>
    <t xml:space="preserve">1-19897193748</t>
  </si>
  <si>
    <t xml:space="preserve">Rainbow Quality Care Ltd</t>
  </si>
  <si>
    <t xml:space="preserve">1-15234870800</t>
  </si>
  <si>
    <t xml:space="preserve">1-11680091646</t>
  </si>
  <si>
    <t xml:space="preserve">Ray of Sunshine Care Ltd</t>
  </si>
  <si>
    <t xml:space="preserve">1-10292353525</t>
  </si>
  <si>
    <t xml:space="preserve">B44 0RT</t>
  </si>
  <si>
    <t xml:space="preserve">www.rayofsunshinecare.co.uk/</t>
  </si>
  <si>
    <t xml:space="preserve">1-16969722386</t>
  </si>
  <si>
    <t xml:space="preserve">Reignite Care Ltd</t>
  </si>
  <si>
    <t xml:space="preserve">1-15976634088</t>
  </si>
  <si>
    <t xml:space="preserve">1-12149553949</t>
  </si>
  <si>
    <t xml:space="preserve">Relax Care Limited</t>
  </si>
  <si>
    <t xml:space="preserve">1-11391816618</t>
  </si>
  <si>
    <t xml:space="preserve">B19 2AB</t>
  </si>
  <si>
    <t xml:space="preserve">www.relaxcare.co.uk</t>
  </si>
  <si>
    <t xml:space="preserve">1-252229578</t>
  </si>
  <si>
    <t xml:space="preserve">Reliance Care Solutions Limited</t>
  </si>
  <si>
    <t xml:space="preserve">1-218226029</t>
  </si>
  <si>
    <t xml:space="preserve">B11 2AB</t>
  </si>
  <si>
    <t xml:space="preserve">1-2630308495</t>
  </si>
  <si>
    <t xml:space="preserve">Tripple Tee Ltd</t>
  </si>
  <si>
    <t xml:space="preserve">Reliant Angel Care Ltd</t>
  </si>
  <si>
    <t xml:space="preserve">1-2399697228</t>
  </si>
  <si>
    <t xml:space="preserve">B23 6EU</t>
  </si>
  <si>
    <t xml:space="preserve">1-7374590713</t>
  </si>
  <si>
    <t xml:space="preserve">Resjes Ltd</t>
  </si>
  <si>
    <t xml:space="preserve">1-6870033440</t>
  </si>
  <si>
    <t xml:space="preserve">www.resjescare.co.uk</t>
  </si>
  <si>
    <t xml:space="preserve">1-13939954343</t>
  </si>
  <si>
    <t xml:space="preserve">Revolutionary Quality Care Solutions Ltd</t>
  </si>
  <si>
    <t xml:space="preserve">1-13499286155</t>
  </si>
  <si>
    <t xml:space="preserve">1-14595644762</t>
  </si>
  <si>
    <t xml:space="preserve">Rhesus Care Ltd</t>
  </si>
  <si>
    <t xml:space="preserve">1-13945665740</t>
  </si>
  <si>
    <t xml:space="preserve">B7 5AR</t>
  </si>
  <si>
    <t xml:space="preserve">1-4591424497</t>
  </si>
  <si>
    <t xml:space="preserve">Right Trust Care Ltd</t>
  </si>
  <si>
    <t xml:space="preserve">1-4499865403</t>
  </si>
  <si>
    <t xml:space="preserve">B31 2RT</t>
  </si>
  <si>
    <t xml:space="preserve">Dementia; Older People; People who misuse drugs and alcohol; Physical Disability; Younger Adults</t>
  </si>
  <si>
    <t xml:space="preserve">www.right-trust-care.co.uk</t>
  </si>
  <si>
    <t xml:space="preserve">1-5832715423</t>
  </si>
  <si>
    <t xml:space="preserve">River Of Care Ltd</t>
  </si>
  <si>
    <t xml:space="preserve">River of Care Ltd</t>
  </si>
  <si>
    <t xml:space="preserve">1-5536577904</t>
  </si>
  <si>
    <t xml:space="preserve">1-16385677861</t>
  </si>
  <si>
    <t xml:space="preserve">Romeo Care Service Ltd</t>
  </si>
  <si>
    <t xml:space="preserve">1-15472971745</t>
  </si>
  <si>
    <t xml:space="preserve">B31 5RH</t>
  </si>
  <si>
    <t xml:space="preserve">1-343721438</t>
  </si>
  <si>
    <t xml:space="preserve">Romie Care Services Ltd</t>
  </si>
  <si>
    <t xml:space="preserve">Romie Care Services Limited</t>
  </si>
  <si>
    <t xml:space="preserve">1-101681563</t>
  </si>
  <si>
    <t xml:space="preserve">B23 6RH</t>
  </si>
  <si>
    <t xml:space="preserve">1-1949699207</t>
  </si>
  <si>
    <t xml:space="preserve">S&amp;S Care</t>
  </si>
  <si>
    <t xml:space="preserve">S&amp;S Care (Midlands) Limited</t>
  </si>
  <si>
    <t xml:space="preserve">1-1788738042</t>
  </si>
  <si>
    <t xml:space="preserve">www.sandscare.co.uk</t>
  </si>
  <si>
    <t xml:space="preserve">1-22965951955</t>
  </si>
  <si>
    <t xml:space="preserve">SA Care Services Ltd</t>
  </si>
  <si>
    <t xml:space="preserve">1-18868659421</t>
  </si>
  <si>
    <t xml:space="preserve">B18 6PT</t>
  </si>
  <si>
    <t xml:space="preserve">1-11817013995</t>
  </si>
  <si>
    <t xml:space="preserve">SCS - Head Office</t>
  </si>
  <si>
    <t xml:space="preserve">SCS Care Limited</t>
  </si>
  <si>
    <t xml:space="preserve">1-9773621600</t>
  </si>
  <si>
    <t xml:space="preserve">B36 8DT</t>
  </si>
  <si>
    <t xml:space="preserve">www.scscare.co.uk</t>
  </si>
  <si>
    <t xml:space="preserve">1-2521436412</t>
  </si>
  <si>
    <t xml:space="preserve">SRS Care Limited</t>
  </si>
  <si>
    <t xml:space="preserve">1-2020035247</t>
  </si>
  <si>
    <t xml:space="preserve">B33 0SG</t>
  </si>
  <si>
    <t xml:space="preserve">www.srs-care.co.uk</t>
  </si>
  <si>
    <t xml:space="preserve">1-9507395022</t>
  </si>
  <si>
    <t xml:space="preserve">Sentricare Birmingham</t>
  </si>
  <si>
    <t xml:space="preserve">Sentricare Limited</t>
  </si>
  <si>
    <t xml:space="preserve">1-101641125</t>
  </si>
  <si>
    <t xml:space="preserve">www.sentricare.co.uk</t>
  </si>
  <si>
    <t xml:space="preserve">1-1195236662</t>
  </si>
  <si>
    <t xml:space="preserve">Sevacare - Sutton Coldfield</t>
  </si>
  <si>
    <t xml:space="preserve">B44 8PP</t>
  </si>
  <si>
    <t xml:space="preserve">www.sevacare.org.uk</t>
  </si>
  <si>
    <t xml:space="preserve">1-130731530</t>
  </si>
  <si>
    <t xml:space="preserve">Sevacare - Hall Green</t>
  </si>
  <si>
    <t xml:space="preserve">B28 8AS</t>
  </si>
  <si>
    <t xml:space="preserve">1-130731599</t>
  </si>
  <si>
    <t xml:space="preserve">Sevacare - Kingstanding</t>
  </si>
  <si>
    <t xml:space="preserve">B15 3EZ</t>
  </si>
  <si>
    <t xml:space="preserve">1-9012280065</t>
  </si>
  <si>
    <t xml:space="preserve">81 Wood Lane</t>
  </si>
  <si>
    <t xml:space="preserve">Shephards Care Services Ltd</t>
  </si>
  <si>
    <t xml:space="preserve">1-8651063943</t>
  </si>
  <si>
    <t xml:space="preserve">B32 4AD</t>
  </si>
  <si>
    <t xml:space="preserve">1-19660075888</t>
  </si>
  <si>
    <t xml:space="preserve">The Vault Business Centre</t>
  </si>
  <si>
    <t xml:space="preserve">Silverstem Healthcare Limited</t>
  </si>
  <si>
    <t xml:space="preserve">1-15981202891</t>
  </si>
  <si>
    <t xml:space="preserve">Dementia; Older People</t>
  </si>
  <si>
    <t xml:space="preserve">www.silverstem.co.uk</t>
  </si>
  <si>
    <t xml:space="preserve">1-18034475581</t>
  </si>
  <si>
    <t xml:space="preserve">Simeon Care Limited</t>
  </si>
  <si>
    <t xml:space="preserve">1-16412504951</t>
  </si>
  <si>
    <t xml:space="preserve">Children 0-18 years; Dementia; Learning disabilities or autistic spectrum disorder; Older People; Physical Disability; Younger Adults</t>
  </si>
  <si>
    <t xml:space="preserve">www.simeonresidential.co.uk</t>
  </si>
  <si>
    <t xml:space="preserve">1-12472016078</t>
  </si>
  <si>
    <t xml:space="preserve">Simply HomeCare LTD</t>
  </si>
  <si>
    <t xml:space="preserve">Simply HomeCare Ltd</t>
  </si>
  <si>
    <t xml:space="preserve">1-11308065252</t>
  </si>
  <si>
    <t xml:space="preserve">B5 7XH</t>
  </si>
  <si>
    <t xml:space="preserve">www.simplyhomecare.co.uk</t>
  </si>
  <si>
    <t xml:space="preserve">1-968901596</t>
  </si>
  <si>
    <t xml:space="preserve">Sisters Care Services CIC</t>
  </si>
  <si>
    <t xml:space="preserve">1-945899283</t>
  </si>
  <si>
    <t xml:space="preserve">Dementia; Learning disabilities or autistic spectrum disorder; Mental Health; Physical Disability; Sensory Impairment; Whole Population</t>
  </si>
  <si>
    <t xml:space="preserve">1-15232915300</t>
  </si>
  <si>
    <t xml:space="preserve">Soft Touch Care Services</t>
  </si>
  <si>
    <t xml:space="preserve">Soft Touch Care Services Ltd</t>
  </si>
  <si>
    <t xml:space="preserve">1-14160571500</t>
  </si>
  <si>
    <t xml:space="preserve">B25 8YP</t>
  </si>
  <si>
    <t xml:space="preserve">www.softtouchcareservices.co.uk</t>
  </si>
  <si>
    <t xml:space="preserve">1-124831283</t>
  </si>
  <si>
    <t xml:space="preserve">Solitaire Homecare Services Limited</t>
  </si>
  <si>
    <t xml:space="preserve">1-101675388</t>
  </si>
  <si>
    <t xml:space="preserve">B44 8NS</t>
  </si>
  <si>
    <t xml:space="preserve">Dementia; Mental Health; Older People; People who misuse drugs and alcohol; Physical Disability; Sensory Impairment; Younger Adults</t>
  </si>
  <si>
    <t xml:space="preserve">1-16093771185</t>
  </si>
  <si>
    <t xml:space="preserve">Southern Care LTD</t>
  </si>
  <si>
    <t xml:space="preserve">Southern Care Ltd</t>
  </si>
  <si>
    <t xml:space="preserve">1-15470144265</t>
  </si>
  <si>
    <t xml:space="preserve">B31 5DJ</t>
  </si>
  <si>
    <t xml:space="preserve">1-22163593039</t>
  </si>
  <si>
    <t xml:space="preserve">Spectacare Healthcare Ltd</t>
  </si>
  <si>
    <t xml:space="preserve">1-21096558931</t>
  </si>
  <si>
    <t xml:space="preserve">B23 7YH</t>
  </si>
  <si>
    <t xml:space="preserve">spectacare.co.uk</t>
  </si>
  <si>
    <t xml:space="preserve">B13 8RE</t>
  </si>
  <si>
    <t xml:space="preserve">Learning disabilities or autistic spectrum disorder; Physical Disability; Sensory Impairment; Younger Adults</t>
  </si>
  <si>
    <t xml:space="preserve">1-5587608353</t>
  </si>
  <si>
    <t xml:space="preserve">Stella Maris Healthcare Ltd</t>
  </si>
  <si>
    <t xml:space="preserve">1-5257082953</t>
  </si>
  <si>
    <t xml:space="preserve">www.stellamarishealthcare.co.uk</t>
  </si>
  <si>
    <t xml:space="preserve">1-23701101211</t>
  </si>
  <si>
    <t xml:space="preserve">Sunny Days Care Group Limited</t>
  </si>
  <si>
    <t xml:space="preserve">1-21745027396</t>
  </si>
  <si>
    <t xml:space="preserve">B31 1UJ</t>
  </si>
  <si>
    <t xml:space="preserve">www.sunnydayscaregroup.co.uk</t>
  </si>
  <si>
    <t xml:space="preserve">1-111464277</t>
  </si>
  <si>
    <t xml:space="preserve">Support Asia Limited</t>
  </si>
  <si>
    <t xml:space="preserve">1-101659645</t>
  </si>
  <si>
    <t xml:space="preserve">B21 0PD</t>
  </si>
  <si>
    <t xml:space="preserve">www.supportasia.co.uk</t>
  </si>
  <si>
    <t xml:space="preserve">1-11488270256</t>
  </si>
  <si>
    <t xml:space="preserve">Supportive Care Services Ltd</t>
  </si>
  <si>
    <t xml:space="preserve">1-10006288955</t>
  </si>
  <si>
    <t xml:space="preserve">B10 0ED</t>
  </si>
  <si>
    <t xml:space="preserve">www.homecareservices.uk</t>
  </si>
  <si>
    <t xml:space="preserve">1-1826925307</t>
  </si>
  <si>
    <t xml:space="preserve">Team Locum Limited</t>
  </si>
  <si>
    <t xml:space="preserve">1-1693534630</t>
  </si>
  <si>
    <t xml:space="preserve">B30 3FJ</t>
  </si>
  <si>
    <t xml:space="preserve">www.teamlocum.co.uk</t>
  </si>
  <si>
    <t xml:space="preserve">1-2790983508</t>
  </si>
  <si>
    <t xml:space="preserve">Elite Care 24/7</t>
  </si>
  <si>
    <t xml:space="preserve">Temple Mead Care Ltd</t>
  </si>
  <si>
    <t xml:space="preserve">1-873245203</t>
  </si>
  <si>
    <t xml:space="preserve">B76 9DD</t>
  </si>
  <si>
    <t xml:space="preserve">www.elitecare247.co.uk</t>
  </si>
  <si>
    <t xml:space="preserve">1-23695436535</t>
  </si>
  <si>
    <t xml:space="preserve">Tender Living Residence</t>
  </si>
  <si>
    <t xml:space="preserve">Tender Living Residence Ltd</t>
  </si>
  <si>
    <t xml:space="preserve">1-21682588460</t>
  </si>
  <si>
    <t xml:space="preserve">B3 1RB</t>
  </si>
  <si>
    <t xml:space="preserve">www.tlrs.co.uk/</t>
  </si>
  <si>
    <t xml:space="preserve">1-12105708891</t>
  </si>
  <si>
    <t xml:space="preserve">www.thecareworkshop.co.uk</t>
  </si>
  <si>
    <t xml:space="preserve">1-297431421</t>
  </si>
  <si>
    <t xml:space="preserve">The Diamond Care Partnership Ltd</t>
  </si>
  <si>
    <t xml:space="preserve">1-228517771</t>
  </si>
  <si>
    <t xml:space="preserve">B12 9RG</t>
  </si>
  <si>
    <t xml:space="preserve">1-21765878572</t>
  </si>
  <si>
    <t xml:space="preserve">Brain Injury Rehabilitation Trust - Bristol Road</t>
  </si>
  <si>
    <t xml:space="preserve">The Disabilities Trust</t>
  </si>
  <si>
    <t xml:space="preserve">1-102642556</t>
  </si>
  <si>
    <t xml:space="preserve">B29 6LX</t>
  </si>
  <si>
    <t xml:space="preserve">Care home service without nursing; Domiciliary care service; Extra Care housing services; Supported living service</t>
  </si>
  <si>
    <t xml:space="preserve">www.brainkind.org</t>
  </si>
  <si>
    <t xml:space="preserve">1-2228989981</t>
  </si>
  <si>
    <t xml:space="preserve">Bournville Gardens Village</t>
  </si>
  <si>
    <t xml:space="preserve">B31 2FR</t>
  </si>
  <si>
    <t xml:space="preserve">www.extracare.org.uk</t>
  </si>
  <si>
    <t xml:space="preserve">1-4196632027</t>
  </si>
  <si>
    <t xml:space="preserve">Longbridge Village</t>
  </si>
  <si>
    <t xml:space="preserve">B31 2FZ</t>
  </si>
  <si>
    <t xml:space="preserve">1-2233623172</t>
  </si>
  <si>
    <t xml:space="preserve">The Nurse International Ltd</t>
  </si>
  <si>
    <t xml:space="preserve">1-2164916881</t>
  </si>
  <si>
    <t xml:space="preserve">B6 7BH</t>
  </si>
  <si>
    <t xml:space="preserve">www.thenurseint.com</t>
  </si>
  <si>
    <t xml:space="preserve">1-2179872716</t>
  </si>
  <si>
    <t xml:space="preserve">Ash Grove</t>
  </si>
  <si>
    <t xml:space="preserve">The Riverside Group Limited</t>
  </si>
  <si>
    <t xml:space="preserve">1-101677200</t>
  </si>
  <si>
    <t xml:space="preserve">www.riverside.org.uk</t>
  </si>
  <si>
    <t xml:space="preserve">1-12962342535</t>
  </si>
  <si>
    <t xml:space="preserve">TheSignLife Project</t>
  </si>
  <si>
    <t xml:space="preserve">TheSignLife Project CIC</t>
  </si>
  <si>
    <t xml:space="preserve">1-10875662107</t>
  </si>
  <si>
    <t xml:space="preserve">www.thesignlife.co.uk</t>
  </si>
  <si>
    <t xml:space="preserve">1-19425129884</t>
  </si>
  <si>
    <t xml:space="preserve">Thricecube Empire Ltd</t>
  </si>
  <si>
    <t xml:space="preserve">1-18135701116</t>
  </si>
  <si>
    <t xml:space="preserve">1-1839470431</t>
  </si>
  <si>
    <t xml:space="preserve">Total Quality Care Services Ltd Birmingham</t>
  </si>
  <si>
    <t xml:space="preserve">Total Quality Care Services Ltd</t>
  </si>
  <si>
    <t xml:space="preserve">1-1622271454</t>
  </si>
  <si>
    <t xml:space="preserve">1-11505043770</t>
  </si>
  <si>
    <t xml:space="preserve">Touchheart Healthcare Main Office</t>
  </si>
  <si>
    <t xml:space="preserve">Touchheart Healthcare Ltd</t>
  </si>
  <si>
    <t xml:space="preserve">1-8929661135</t>
  </si>
  <si>
    <t xml:space="preserve">1-17835712411</t>
  </si>
  <si>
    <t xml:space="preserve">Tri-Elite Support and Care Limited</t>
  </si>
  <si>
    <t xml:space="preserve">1-16463830590</t>
  </si>
  <si>
    <t xml:space="preserve">B31 1PR</t>
  </si>
  <si>
    <t xml:space="preserve">Older People; Physical Disability; Sensory Impairment; Younger Adults</t>
  </si>
  <si>
    <t xml:space="preserve">1-2335142131</t>
  </si>
  <si>
    <t xml:space="preserve">Trident Reach Domiciliary Care - Birmingham Branch</t>
  </si>
  <si>
    <t xml:space="preserve">Trident Reach The People Charity</t>
  </si>
  <si>
    <t xml:space="preserve">1-131464550</t>
  </si>
  <si>
    <t xml:space="preserve">B12 0PW</t>
  </si>
  <si>
    <t xml:space="preserve">www.tridentgroup.org.uk</t>
  </si>
  <si>
    <t xml:space="preserve">1-2458564564</t>
  </si>
  <si>
    <t xml:space="preserve">Trust Quality Care Ltd</t>
  </si>
  <si>
    <t xml:space="preserve">1-2378989124</t>
  </si>
  <si>
    <t xml:space="preserve">B11 1AR</t>
  </si>
  <si>
    <t xml:space="preserve">1-123591876</t>
  </si>
  <si>
    <t xml:space="preserve">Unity Care</t>
  </si>
  <si>
    <t xml:space="preserve">1-101623172</t>
  </si>
  <si>
    <t xml:space="preserve">B6 6NE</t>
  </si>
  <si>
    <t xml:space="preserve">Care home service without nursing; Domiciliary care service; Supported living service</t>
  </si>
  <si>
    <t xml:space="preserve">www.unitycare.co.uk</t>
  </si>
  <si>
    <t xml:space="preserve">1-19800633526</t>
  </si>
  <si>
    <t xml:space="preserve">VALUE RICH CARE PATHWAYS LIMITED- Main Office</t>
  </si>
  <si>
    <t xml:space="preserve">VALUE RICH CARE PATHWAYS LIMITED</t>
  </si>
  <si>
    <t xml:space="preserve">1-18377630605</t>
  </si>
  <si>
    <t xml:space="preserve">B3 3HN</t>
  </si>
  <si>
    <t xml:space="preserve">www.brighterdawn.co.uk</t>
  </si>
  <si>
    <t xml:space="preserve">1-18139078014</t>
  </si>
  <si>
    <t xml:space="preserve">Victorious Living Care Limited</t>
  </si>
  <si>
    <t xml:space="preserve">1-16463905826</t>
  </si>
  <si>
    <t xml:space="preserve">B29 5AY</t>
  </si>
  <si>
    <t xml:space="preserve">1-288200691</t>
  </si>
  <si>
    <t xml:space="preserve">Villa Care Agency</t>
  </si>
  <si>
    <t xml:space="preserve">Villa Care Homes Limited</t>
  </si>
  <si>
    <t xml:space="preserve">1-233184353</t>
  </si>
  <si>
    <t xml:space="preserve">B23 5TH</t>
  </si>
  <si>
    <t xml:space="preserve">www.villacareagency.co.uk</t>
  </si>
  <si>
    <t xml:space="preserve">1-4085376154</t>
  </si>
  <si>
    <t xml:space="preserve">WMHC Ltd</t>
  </si>
  <si>
    <t xml:space="preserve">1-4079687760</t>
  </si>
  <si>
    <t xml:space="preserve">B11 3RS</t>
  </si>
  <si>
    <t xml:space="preserve">www.wmhc.org.uk</t>
  </si>
  <si>
    <t xml:space="preserve">1-8129408696</t>
  </si>
  <si>
    <t xml:space="preserve">Watra Care Birmingham</t>
  </si>
  <si>
    <t xml:space="preserve">Watra Care Limited</t>
  </si>
  <si>
    <t xml:space="preserve">1-7330633230</t>
  </si>
  <si>
    <t xml:space="preserve">Children 0-18 years; Dementia; Learning disabilities or autistic spectrum disorder; Mental Health; Older People; Physical Disability; Sensory Impairment; Whole Population</t>
  </si>
  <si>
    <t xml:space="preserve">www.watracare.co.uk</t>
  </si>
  <si>
    <t xml:space="preserve">1-592021561</t>
  </si>
  <si>
    <t xml:space="preserve">Watra Care Solihull</t>
  </si>
  <si>
    <t xml:space="preserve">Watra Limited</t>
  </si>
  <si>
    <t xml:space="preserve">1-572769569</t>
  </si>
  <si>
    <t xml:space="preserve">1-9697807058</t>
  </si>
  <si>
    <t xml:space="preserve">Enabling Lives - Birmingham</t>
  </si>
  <si>
    <t xml:space="preserve">Winusman Care Ltd</t>
  </si>
  <si>
    <t xml:space="preserve">1-9256292858</t>
  </si>
  <si>
    <t xml:space="preserve">www.enablinglives.co.uk</t>
  </si>
  <si>
    <t xml:space="preserve">1-674490404</t>
  </si>
  <si>
    <t xml:space="preserve">Wisteria Care Agency Ltd</t>
  </si>
  <si>
    <t xml:space="preserve">1-197469919</t>
  </si>
  <si>
    <t xml:space="preserve">Learning disabilities or autistic spectrum disorder; Older People; Physical Disability; Younger Adults</t>
  </si>
  <si>
    <t xml:space="preserve">www.wisteriacareagency.com</t>
  </si>
  <si>
    <t xml:space="preserve">1-19883402624</t>
  </si>
  <si>
    <t xml:space="preserve">WITH TRUST CARE LIMITED</t>
  </si>
  <si>
    <t xml:space="preserve">With Trust Care Limited</t>
  </si>
  <si>
    <t xml:space="preserve">1-18041750535</t>
  </si>
  <si>
    <t xml:space="preserve">B6 6AE</t>
  </si>
  <si>
    <t xml:space="preserve">Dementia; Older People; Sensory Impairment; Younger Adults</t>
  </si>
  <si>
    <t xml:space="preserve">www.withtrustcare.com</t>
  </si>
  <si>
    <t xml:space="preserve">1-548983403</t>
  </si>
  <si>
    <t xml:space="preserve">Your Care Services Brain Injury Specialists</t>
  </si>
  <si>
    <t xml:space="preserve">Your Care Services Brain Injury Specialists Limited</t>
  </si>
  <si>
    <t xml:space="preserve">1-474097523</t>
  </si>
  <si>
    <t xml:space="preserve">B7 5JR</t>
  </si>
  <si>
    <t xml:space="preserve">www.yourcareservices.org.uk</t>
  </si>
  <si>
    <t xml:space="preserve">1-11687782348</t>
  </si>
  <si>
    <t xml:space="preserve">Your Support</t>
  </si>
  <si>
    <t xml:space="preserve">Your Support Services Limited</t>
  </si>
  <si>
    <t xml:space="preserve">1-10528987338</t>
  </si>
  <si>
    <t xml:space="preserve">1-290752472</t>
  </si>
  <si>
    <t xml:space="preserve">Your Life (Sutton Coldfield)</t>
  </si>
  <si>
    <t xml:space="preserve">B73 5XF</t>
  </si>
  <si>
    <t xml:space="preserve">www.mccarthyandstone.co.uk</t>
  </si>
  <si>
    <t xml:space="preserve">1-4826285128</t>
  </si>
  <si>
    <t xml:space="preserve">Your Life (Edgbaston)</t>
  </si>
  <si>
    <t xml:space="preserve">B15 3AY</t>
  </si>
  <si>
    <t xml:space="preserve">1-1764201580</t>
  </si>
  <si>
    <t xml:space="preserve">Zanta Healthcare</t>
  </si>
  <si>
    <t xml:space="preserve">Zanta Healthcare Limited</t>
  </si>
  <si>
    <t xml:space="preserve">1-1664031006</t>
  </si>
  <si>
    <t xml:space="preserve">1-1553474821</t>
  </si>
  <si>
    <t xml:space="preserve">iCare Living Limited</t>
  </si>
  <si>
    <t xml:space="preserve">1-1535337271</t>
  </si>
  <si>
    <t xml:space="preserve">B44 8HX</t>
  </si>
  <si>
    <t xml:space="preserve">1-18175091537</t>
  </si>
  <si>
    <t xml:space="preserve">3Belle.Ami Health</t>
  </si>
  <si>
    <t xml:space="preserve">3Belle.Ami Health Limited</t>
  </si>
  <si>
    <t xml:space="preserve">1-15179007598</t>
  </si>
  <si>
    <t xml:space="preserve">B37 7YN</t>
  </si>
  <si>
    <t xml:space="preserve">www.3belleamihealth.co.uk</t>
  </si>
  <si>
    <t xml:space="preserve">1-21950976405</t>
  </si>
  <si>
    <t xml:space="preserve">A Star Care Services</t>
  </si>
  <si>
    <t xml:space="preserve">A Star Care Services Limited</t>
  </si>
  <si>
    <t xml:space="preserve">1-20393322193</t>
  </si>
  <si>
    <t xml:space="preserve">B90 4UT</t>
  </si>
  <si>
    <t xml:space="preserve">www.astarcareservices.co.uk</t>
  </si>
  <si>
    <t xml:space="preserve">1-14643096648</t>
  </si>
  <si>
    <t xml:space="preserve">Acer Healthcare Limited</t>
  </si>
  <si>
    <t xml:space="preserve">Acer Healthcare Ltd</t>
  </si>
  <si>
    <t xml:space="preserve">1-14197673591</t>
  </si>
  <si>
    <t xml:space="preserve">B37 7WY</t>
  </si>
  <si>
    <t xml:space="preserve">www.acerhealthcare.com</t>
  </si>
  <si>
    <t xml:space="preserve">1-19060271907</t>
  </si>
  <si>
    <t xml:space="preserve">Advance Healthcare- Hampton House</t>
  </si>
  <si>
    <t xml:space="preserve">B91 2QJ</t>
  </si>
  <si>
    <t xml:space="preserve">www.advancehealthcare.co.uk</t>
  </si>
  <si>
    <t xml:space="preserve">1-19060272095</t>
  </si>
  <si>
    <t xml:space="preserve">Advance Healthcare- Phoenix House</t>
  </si>
  <si>
    <t xml:space="preserve">B90 4PQ</t>
  </si>
  <si>
    <t xml:space="preserve">1-19060272122</t>
  </si>
  <si>
    <t xml:space="preserve">Advance Healthcare- Trinity Apartments</t>
  </si>
  <si>
    <t xml:space="preserve">B90 3FE</t>
  </si>
  <si>
    <t xml:space="preserve">B37 7RF</t>
  </si>
  <si>
    <t xml:space="preserve">1-27031625266</t>
  </si>
  <si>
    <t xml:space="preserve">Alina Homecare Solihull</t>
  </si>
  <si>
    <t xml:space="preserve">B90 4PD</t>
  </si>
  <si>
    <t xml:space="preserve">www.alinahomecare.com</t>
  </si>
  <si>
    <t xml:space="preserve">1-143046239</t>
  </si>
  <si>
    <t xml:space="preserve">Angels Healthcare Ltd</t>
  </si>
  <si>
    <t xml:space="preserve">1-120627562</t>
  </si>
  <si>
    <t xml:space="preserve">B37 7TP</t>
  </si>
  <si>
    <t xml:space="preserve">1-19057685215</t>
  </si>
  <si>
    <t xml:space="preserve">Right at Home Solihull</t>
  </si>
  <si>
    <t xml:space="preserve">Ashcare Solihull Limited</t>
  </si>
  <si>
    <t xml:space="preserve">1-17603397333</t>
  </si>
  <si>
    <t xml:space="preserve">www.rightathome.co.uk/solihull</t>
  </si>
  <si>
    <t xml:space="preserve">B94 6NN</t>
  </si>
  <si>
    <t xml:space="preserve">1-23418838330</t>
  </si>
  <si>
    <t xml:space="preserve">Autism West Midlands Solihull</t>
  </si>
  <si>
    <t xml:space="preserve">Autism.West Midlands</t>
  </si>
  <si>
    <t xml:space="preserve">1-101653587</t>
  </si>
  <si>
    <t xml:space="preserve">B37 7HP</t>
  </si>
  <si>
    <t xml:space="preserve">Learning disabilities or autistic spectrum disorder; Younger Adults</t>
  </si>
  <si>
    <t xml:space="preserve">www.autismwestmidlands.org.uk</t>
  </si>
  <si>
    <t xml:space="preserve">1-1686342232</t>
  </si>
  <si>
    <t xml:space="preserve">Auxilio Care Limited</t>
  </si>
  <si>
    <t xml:space="preserve">1-1495472313</t>
  </si>
  <si>
    <t xml:space="preserve">1-21252528279</t>
  </si>
  <si>
    <t xml:space="preserve">Care Affair Solihull Ltd</t>
  </si>
  <si>
    <t xml:space="preserve">1-6253236219</t>
  </si>
  <si>
    <t xml:space="preserve">B90 8AJ</t>
  </si>
  <si>
    <t xml:space="preserve">1-8583352224</t>
  </si>
  <si>
    <t xml:space="preserve">Care4Now</t>
  </si>
  <si>
    <t xml:space="preserve">Care4Now Ltd</t>
  </si>
  <si>
    <t xml:space="preserve">1-7799232615</t>
  </si>
  <si>
    <t xml:space="preserve">B90 3JQ</t>
  </si>
  <si>
    <t xml:space="preserve">www.care4now.co.uk</t>
  </si>
  <si>
    <t xml:space="preserve">1-2632837915</t>
  </si>
  <si>
    <t xml:space="preserve">Dixon Dunn Care Solihull Limited</t>
  </si>
  <si>
    <t xml:space="preserve">1-2620398148</t>
  </si>
  <si>
    <t xml:space="preserve">B94 6NW</t>
  </si>
  <si>
    <t xml:space="preserve">1-138380533</t>
  </si>
  <si>
    <t xml:space="preserve">DomCare</t>
  </si>
  <si>
    <t xml:space="preserve">1-101719765</t>
  </si>
  <si>
    <t xml:space="preserve">B27 7AN</t>
  </si>
  <si>
    <t xml:space="preserve">Dementia; Learning disabilities or autistic spectrum disorder; Mental Health; Older People; People with an eating disorder; Physical Disability; Sensory Impairment</t>
  </si>
  <si>
    <t xml:space="preserve">www.domcare.co.uk</t>
  </si>
  <si>
    <t xml:space="preserve">1-115981889</t>
  </si>
  <si>
    <t xml:space="preserve">Dove Home Care Agency Limited</t>
  </si>
  <si>
    <t xml:space="preserve">1-101719623</t>
  </si>
  <si>
    <t xml:space="preserve">B92 7AH</t>
  </si>
  <si>
    <t xml:space="preserve">www.dovehomecare.com</t>
  </si>
  <si>
    <t xml:space="preserve">1-116533435</t>
  </si>
  <si>
    <t xml:space="preserve">Care Services</t>
  </si>
  <si>
    <t xml:space="preserve">Elaine Frances Sadler</t>
  </si>
  <si>
    <t xml:space="preserve">1-101719711</t>
  </si>
  <si>
    <t xml:space="preserve">B92 8AH</t>
  </si>
  <si>
    <t xml:space="preserve">1-1113864424</t>
  </si>
  <si>
    <t xml:space="preserve">Elite Assistance Limited</t>
  </si>
  <si>
    <t xml:space="preserve">Elite Assistance Ltd</t>
  </si>
  <si>
    <t xml:space="preserve">1-101692436</t>
  </si>
  <si>
    <t xml:space="preserve">B93 0EP</t>
  </si>
  <si>
    <t xml:space="preserve">Whole Population</t>
  </si>
  <si>
    <t xml:space="preserve">www.eliteassistance.co.uk</t>
  </si>
  <si>
    <t xml:space="preserve">1-16843661147</t>
  </si>
  <si>
    <t xml:space="preserve">ECS Main Office</t>
  </si>
  <si>
    <t xml:space="preserve">Emerald Care Solutions Ltd</t>
  </si>
  <si>
    <t xml:space="preserve">1-15940078605</t>
  </si>
  <si>
    <t xml:space="preserve">1-116145956</t>
  </si>
  <si>
    <t xml:space="preserve">Community Support Service</t>
  </si>
  <si>
    <t xml:space="preserve">Family Care Trust</t>
  </si>
  <si>
    <t xml:space="preserve">1-101662020</t>
  </si>
  <si>
    <t xml:space="preserve">B91 2RY</t>
  </si>
  <si>
    <t xml:space="preserve">www.familycaretrust.co.uk</t>
  </si>
  <si>
    <t xml:space="preserve">1-11348755534</t>
  </si>
  <si>
    <t xml:space="preserve">First Care Healthcare Ltd</t>
  </si>
  <si>
    <t xml:space="preserve">1-10049338736</t>
  </si>
  <si>
    <t xml:space="preserve">B36 9NX</t>
  </si>
  <si>
    <t xml:space="preserve">www.firstcarehealthcare.co.uk</t>
  </si>
  <si>
    <t xml:space="preserve">1-23331370689</t>
  </si>
  <si>
    <t xml:space="preserve">Glorious Light Care Limited</t>
  </si>
  <si>
    <t xml:space="preserve">1-20394791944</t>
  </si>
  <si>
    <t xml:space="preserve">1-4375507721</t>
  </si>
  <si>
    <t xml:space="preserve">Birmingham Business Park</t>
  </si>
  <si>
    <t xml:space="preserve">HBBA Care Ltd</t>
  </si>
  <si>
    <t xml:space="preserve">1-2378316508</t>
  </si>
  <si>
    <t xml:space="preserve">www.hbbacare.com</t>
  </si>
  <si>
    <t xml:space="preserve">1-19888295283</t>
  </si>
  <si>
    <t xml:space="preserve">Homecare For You Solihull</t>
  </si>
  <si>
    <t xml:space="preserve">Home Care For You Ltd</t>
  </si>
  <si>
    <t xml:space="preserve">1-101673242</t>
  </si>
  <si>
    <t xml:space="preserve">B92 7AR</t>
  </si>
  <si>
    <t xml:space="preserve">1-1244572868</t>
  </si>
  <si>
    <t xml:space="preserve">Caremark Solihull</t>
  </si>
  <si>
    <t xml:space="preserve">Homehelp (Solihull) Limited</t>
  </si>
  <si>
    <t xml:space="preserve">1-1120520425</t>
  </si>
  <si>
    <t xml:space="preserve">B90 3AH</t>
  </si>
  <si>
    <t xml:space="preserve">Children 0-18 years; Dementia; Learning disabilities or autistic spectrum disorder; Mental Health; Older People; People who misuse drugs and alcohol; Physical Disability; Sensory Impairment; Younger Adults</t>
  </si>
  <si>
    <t xml:space="preserve">www.caremark.co.uk/solihull/</t>
  </si>
  <si>
    <t xml:space="preserve">1-125147608</t>
  </si>
  <si>
    <t xml:space="preserve">Bright Dawn Home Care</t>
  </si>
  <si>
    <t xml:space="preserve">Jacross Enterprises Ltd</t>
  </si>
  <si>
    <t xml:space="preserve">1-117003101</t>
  </si>
  <si>
    <t xml:space="preserve">B93 8DB</t>
  </si>
  <si>
    <t xml:space="preserve">1-8821432431</t>
  </si>
  <si>
    <t xml:space="preserve">KE 247 Support Services</t>
  </si>
  <si>
    <t xml:space="preserve">KE 247 Staffing Solutions Ltd</t>
  </si>
  <si>
    <t xml:space="preserve">1-8081629104</t>
  </si>
  <si>
    <t xml:space="preserve">1-2343703092</t>
  </si>
  <si>
    <t xml:space="preserve">Kelso Care Consortium Limited Supported Living Services</t>
  </si>
  <si>
    <t xml:space="preserve">Kelso Care Consortium Limited</t>
  </si>
  <si>
    <t xml:space="preserve">1-101610703</t>
  </si>
  <si>
    <t xml:space="preserve">Learning disabilities or autistic spectrum disorder; Mental Health; Physical Disability; Sensory Impairment</t>
  </si>
  <si>
    <t xml:space="preserve">1-15976851504</t>
  </si>
  <si>
    <t xml:space="preserve">L.I.S.T Care Services Ltd</t>
  </si>
  <si>
    <t xml:space="preserve">1-15239296319</t>
  </si>
  <si>
    <t xml:space="preserve">B37 6BN</t>
  </si>
  <si>
    <t xml:space="preserve">1-13315892234</t>
  </si>
  <si>
    <t xml:space="preserve">Leaf Complex Care Midlands</t>
  </si>
  <si>
    <t xml:space="preserve">LEAF Complex Care Limited</t>
  </si>
  <si>
    <t xml:space="preserve">1-5649977267</t>
  </si>
  <si>
    <t xml:space="preserve">B37 7YE</t>
  </si>
  <si>
    <t xml:space="preserve">Children 0-18 years; Learning disabilities or autistic spectrum disorder; Mental Health; Older People; People who misuse drugs and alcohol; People with an eating disorder; Physical Disability; Sensory Impairment; Younger Adults</t>
  </si>
  <si>
    <t xml:space="preserve">www.leafcare.co.uk</t>
  </si>
  <si>
    <t xml:space="preserve">1-2489094527</t>
  </si>
  <si>
    <t xml:space="preserve">Meadow Home Care Services Ltd</t>
  </si>
  <si>
    <t xml:space="preserve">Meadow Home Care Services Limited</t>
  </si>
  <si>
    <t xml:space="preserve">1-101643889</t>
  </si>
  <si>
    <t xml:space="preserve">B92 8BG</t>
  </si>
  <si>
    <t xml:space="preserve">1-3805311663</t>
  </si>
  <si>
    <t xml:space="preserve">Helping Hands Solihull</t>
  </si>
  <si>
    <t xml:space="preserve">B90 3ND</t>
  </si>
  <si>
    <t xml:space="preserve">B90 4AA</t>
  </si>
  <si>
    <t xml:space="preserve">1-122840940</t>
  </si>
  <si>
    <t xml:space="preserve">Orion Care Services</t>
  </si>
  <si>
    <t xml:space="preserve">1-101724854</t>
  </si>
  <si>
    <t xml:space="preserve">B92 9NE</t>
  </si>
  <si>
    <t xml:space="preserve">1-744857167</t>
  </si>
  <si>
    <t xml:space="preserve">Plan-it Homecare Limited</t>
  </si>
  <si>
    <t xml:space="preserve">1-295419510</t>
  </si>
  <si>
    <t xml:space="preserve">CV7 7FW</t>
  </si>
  <si>
    <t xml:space="preserve">1-9566440971</t>
  </si>
  <si>
    <t xml:space="preserve">Real PCS Solihull</t>
  </si>
  <si>
    <t xml:space="preserve">Real PCS Limited</t>
  </si>
  <si>
    <t xml:space="preserve">1-1698027483</t>
  </si>
  <si>
    <t xml:space="preserve">B92 8LN</t>
  </si>
  <si>
    <t xml:space="preserve">www.realpcs.co.uk</t>
  </si>
  <si>
    <t xml:space="preserve">1-4401675978</t>
  </si>
  <si>
    <t xml:space="preserve">Sandant Care</t>
  </si>
  <si>
    <t xml:space="preserve">Sandant Care Limited</t>
  </si>
  <si>
    <t xml:space="preserve">1-4204143520</t>
  </si>
  <si>
    <t xml:space="preserve">B37 6NH</t>
  </si>
  <si>
    <t xml:space="preserve">Children 0-18 years; Learning disabilities or autistic spectrum disorder; Older People; Younger Adults</t>
  </si>
  <si>
    <t xml:space="preserve">1-1859392140</t>
  </si>
  <si>
    <t xml:space="preserve">Social Life Opportunities (SoLo)</t>
  </si>
  <si>
    <t xml:space="preserve">SoLO Life Opportunities</t>
  </si>
  <si>
    <t xml:space="preserve">1-352282229</t>
  </si>
  <si>
    <t xml:space="preserve">B37 7PU</t>
  </si>
  <si>
    <t xml:space="preserve">www.sociallifeopportunities.org</t>
  </si>
  <si>
    <t xml:space="preserve">1-10964383219</t>
  </si>
  <si>
    <t xml:space="preserve">Social Care Academy - Warwickshire</t>
  </si>
  <si>
    <t xml:space="preserve">Social Care Academy Ltd</t>
  </si>
  <si>
    <t xml:space="preserve">1-3849317001</t>
  </si>
  <si>
    <t xml:space="preserve">CV7 7FR</t>
  </si>
  <si>
    <t xml:space="preserve">www.socialcareacademy.net</t>
  </si>
  <si>
    <t xml:space="preserve">1-4259095707</t>
  </si>
  <si>
    <t xml:space="preserve">Solihull Care Ltd - 2Care4You Home &amp; Community Care</t>
  </si>
  <si>
    <t xml:space="preserve">Solihull Care</t>
  </si>
  <si>
    <t xml:space="preserve">1-101648291</t>
  </si>
  <si>
    <t xml:space="preserve">B92 7HP</t>
  </si>
  <si>
    <t xml:space="preserve">1-2912651036</t>
  </si>
  <si>
    <t xml:space="preserve">Solihull Time To Care Limited</t>
  </si>
  <si>
    <t xml:space="preserve">1-2883161923</t>
  </si>
  <si>
    <t xml:space="preserve">B91 1JJ</t>
  </si>
  <si>
    <t xml:space="preserve">www.solihulltimetocare.co.uk</t>
  </si>
  <si>
    <t xml:space="preserve">1-1709403228</t>
  </si>
  <si>
    <t xml:space="preserve">Solihull Home Care</t>
  </si>
  <si>
    <t xml:space="preserve">Solihullhomecare Limited</t>
  </si>
  <si>
    <t xml:space="preserve">1-1056090057</t>
  </si>
  <si>
    <t xml:space="preserve">B90 1UE</t>
  </si>
  <si>
    <t xml:space="preserve">www.solihullhomecare.co.uk</t>
  </si>
  <si>
    <t xml:space="preserve">1-1107042902</t>
  </si>
  <si>
    <t xml:space="preserve">Steps to Independence Limited</t>
  </si>
  <si>
    <t xml:space="preserve">Steps to Independence Ltd</t>
  </si>
  <si>
    <t xml:space="preserve">1-1084743714</t>
  </si>
  <si>
    <t xml:space="preserve">B37 7YB</t>
  </si>
  <si>
    <t xml:space="preserve">1-274169618</t>
  </si>
  <si>
    <t xml:space="preserve">Bluebird Care (Solihull &amp; Birmingham West)</t>
  </si>
  <si>
    <t xml:space="preserve">Tarpeys Ltd</t>
  </si>
  <si>
    <t xml:space="preserve">1-249147064</t>
  </si>
  <si>
    <t xml:space="preserve">B90 4ND</t>
  </si>
  <si>
    <t xml:space="preserve">B90 2EL</t>
  </si>
  <si>
    <t xml:space="preserve">1-433777313</t>
  </si>
  <si>
    <t xml:space="preserve">The Foundation of Lady Katherine Leveson</t>
  </si>
  <si>
    <t xml:space="preserve">1-416884779</t>
  </si>
  <si>
    <t xml:space="preserve">B93 0AL</t>
  </si>
  <si>
    <t xml:space="preserve">www.leveson.org.uk</t>
  </si>
  <si>
    <t xml:space="preserve">1-18117564569</t>
  </si>
  <si>
    <t xml:space="preserve">Strassen Care</t>
  </si>
  <si>
    <t xml:space="preserve">The Strassen Group LTD</t>
  </si>
  <si>
    <t xml:space="preserve">1-14909385423</t>
  </si>
  <si>
    <t xml:space="preserve">www.strassencare.co.uk</t>
  </si>
  <si>
    <t xml:space="preserve">1-15198050298</t>
  </si>
  <si>
    <t xml:space="preserve">Transforming Support (Birmingham)</t>
  </si>
  <si>
    <t xml:space="preserve">Transforming Support (Birmingham) Limited</t>
  </si>
  <si>
    <t xml:space="preserve">1-13930897085</t>
  </si>
  <si>
    <t xml:space="preserve">1-7601685405</t>
  </si>
  <si>
    <t xml:space="preserve">Unique Senior Care</t>
  </si>
  <si>
    <t xml:space="preserve">Understanding Care (Warwickshire) Limited</t>
  </si>
  <si>
    <t xml:space="preserve">1-247596981</t>
  </si>
  <si>
    <t xml:space="preserve">B93 0LF</t>
  </si>
  <si>
    <t xml:space="preserve">www.uniquecare.co.uk</t>
  </si>
  <si>
    <t xml:space="preserve">1-12873726136</t>
  </si>
  <si>
    <t xml:space="preserve">United Homecare Ltd</t>
  </si>
  <si>
    <t xml:space="preserve">1-12021412585</t>
  </si>
  <si>
    <t xml:space="preserve">B36 9JT</t>
  </si>
  <si>
    <t xml:space="preserve">Dementia; Learning disabilities or autistic spectrum disorder; Older People; Younger Adults</t>
  </si>
  <si>
    <t xml:space="preserve">B90 4GW</t>
  </si>
  <si>
    <t xml:space="preserve">1-2192880602</t>
  </si>
  <si>
    <t xml:space="preserve">YourLife (Bentley Heath)</t>
  </si>
  <si>
    <t xml:space="preserve">B93 8NA</t>
  </si>
  <si>
    <t xml:space="preserve">1-18886225672</t>
  </si>
  <si>
    <t xml:space="preserve">Zenn Care Ltd</t>
  </si>
  <si>
    <t xml:space="preserve">1-18383871033</t>
  </si>
  <si>
    <t xml:space="preserve">B90 8AG</t>
  </si>
  <si>
    <t xml:space="preserve">www.zenncare.co.uk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</si>
</sst>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 mmm\ yyyy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203442"/>
      <name val="Arial"/>
      <family val="0"/>
      <charset val="1"/>
    </font>
    <font>
      <b val="true"/>
      <sz val="16"/>
      <color rgb="FF183247"/>
      <name val="Arial"/>
      <family val="0"/>
      <charset val="1"/>
    </font>
    <font>
      <i val="true"/>
      <sz val="10"/>
      <color rgb="FF52657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20344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83247"/>
        <bgColor rgb="FF203442"/>
      </patternFill>
    </fill>
    <fill>
      <patternFill patternType="solid">
        <fgColor rgb="FFEEF3F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183247"/>
          <bgColor rgb="FF000000"/>
        </patternFill>
      </fill>
    </dxf>
    <dxf>
      <fill>
        <patternFill patternType="solid">
          <fgColor rgb="FFEEF3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344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574"/>
      <rgbColor rgb="FF969696"/>
      <rgbColor rgb="FF183247"/>
      <rgbColor rgb="FF339966"/>
      <rgbColor rgb="FF003300"/>
      <rgbColor rgb="FF333300"/>
      <rgbColor rgb="FF993300"/>
      <rgbColor rgb="FF993366"/>
      <rgbColor rgb="FF333399"/>
      <rgbColor rgb="FF2034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countShortlist" displayName="AccountShortlist" ref="A5:P30" headerRowCount="1" totalsRowCount="0" totalsRowShown="0">
  <tableColumns count="16">
    <tableColumn id="1" name="Order"/>
    <tableColumn id="2" name="Review route"/>
    <tableColumn id="3" name="Provider organisation"/>
    <tableColumn id="4" name="Local locations"/>
    <tableColumn id="5" name="Service mix"/>
    <tableColumn id="6" name="Published fact"/>
    <tableColumn id="7" name="Reason for review"/>
    <tableColumn id="8" name="Qualification question"/>
    <tableColumn id="9" name="Uncertainty"/>
    <tableColumn id="10" name="CQC evidence"/>
    <tableColumn id="11" name="Provider ID"/>
    <tableColumn id="12" name="Location ID"/>
    <tableColumn id="13" name="Representative location"/>
    <tableColumn id="14" name="Source edition"/>
    <tableColumn id="15" name="Page checked"/>
    <tableColumn id="16" name="Page result"/>
  </tableColumns>
</table>
</file>

<file path=xl/tables/table2.xml><?xml version="1.0" encoding="utf-8"?>
<table xmlns="http://schemas.openxmlformats.org/spreadsheetml/2006/main" id="2" name="TerritoryLocations" displayName="TerritoryLocations" ref="A5:U358" headerRowCount="1" totalsRowCount="0" totalsRowShown="0">
  <tableColumns count="21">
    <tableColumn id="1" name="Location ID"/>
    <tableColumn id="2" name="Location name"/>
    <tableColumn id="3" name="Provider organisation"/>
    <tableColumn id="4" name="Provider ID"/>
    <tableColumn id="5" name="Local authority"/>
    <tableColumn id="6" name="Postcode"/>
    <tableColumn id="7" name="Registered"/>
    <tableColumn id="8" name="Rating as published"/>
    <tableColumn id="9" name="Rating publication"/>
    <tableColumn id="10" name="Inherited rating"/>
    <tableColumn id="11" name="Service types"/>
    <tableColumn id="12" name="Service user bands"/>
    <tableColumn id="13" name="Supported living"/>
    <tableColumn id="14" name="England domiciliary locations"/>
    <tableColumn id="15" name="Territory locations"/>
    <tableColumn id="16" name="CQC location URL"/>
    <tableColumn id="17" name="Provider website"/>
    <tableColumn id="18" name="Monthly edition"/>
    <tableColumn id="19" name="Weekly cross-check"/>
    <tableColumn id="20" name="Retrieved"/>
    <tableColumn id="21" name="Monthly source row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3247"/>
    <pageSetUpPr fitToPage="false"/>
  </sheetPr>
  <dimension ref="A1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6"/>
    <col collapsed="false" customWidth="true" hidden="false" outlineLevel="0" max="8" min="3" style="0" width="22"/>
  </cols>
  <sheetData>
    <row r="1" customFormat="false" ht="2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</row>
    <row r="3" customFormat="false" ht="25" hidden="false" customHeight="true" outlineLevel="0" collapsed="false">
      <c r="A3" s="3" t="s">
        <v>1</v>
      </c>
      <c r="B3" s="1"/>
      <c r="C3" s="1"/>
      <c r="D3" s="1"/>
      <c r="E3" s="1"/>
      <c r="F3" s="1"/>
      <c r="G3" s="1"/>
      <c r="H3" s="1"/>
    </row>
    <row r="4" customFormat="false" ht="25" hidden="false" customHeight="tru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25" hidden="false" customHeight="true" outlineLevel="0" collapsed="false">
      <c r="A5" s="4" t="s">
        <v>2</v>
      </c>
      <c r="B5" s="4" t="s">
        <v>3</v>
      </c>
      <c r="C5" s="1"/>
      <c r="D5" s="1"/>
      <c r="E5" s="1"/>
      <c r="F5" s="1"/>
      <c r="G5" s="1"/>
      <c r="H5" s="1"/>
    </row>
    <row r="6" customFormat="false" ht="25" hidden="false" customHeight="true" outlineLevel="0" collapsed="false">
      <c r="A6" s="1" t="s">
        <v>4</v>
      </c>
      <c r="B6" s="1" t="n">
        <f aca="false">COUNTIFS(Locations!$E$6:$E$358,A6)</f>
        <v>297</v>
      </c>
      <c r="C6" s="1"/>
      <c r="D6" s="1"/>
      <c r="E6" s="1"/>
      <c r="F6" s="1"/>
      <c r="G6" s="1"/>
      <c r="H6" s="1"/>
    </row>
    <row r="7" customFormat="false" ht="25" hidden="false" customHeight="true" outlineLevel="0" collapsed="false">
      <c r="A7" s="1" t="s">
        <v>5</v>
      </c>
      <c r="B7" s="1" t="n">
        <f aca="false">COUNTIFS(Locations!$E$6:$E$358,A7)</f>
        <v>56</v>
      </c>
      <c r="C7" s="1"/>
      <c r="D7" s="1"/>
      <c r="E7" s="1"/>
      <c r="F7" s="1"/>
      <c r="G7" s="1"/>
      <c r="H7" s="1"/>
    </row>
    <row r="8" customFormat="false" ht="25" hidden="false" customHeight="true" outlineLevel="0" collapsed="false">
      <c r="A8" s="1" t="s">
        <v>6</v>
      </c>
      <c r="B8" s="1" t="n">
        <f aca="false">SUM(B6:B7)</f>
        <v>353</v>
      </c>
      <c r="C8" s="1"/>
      <c r="D8" s="1"/>
      <c r="E8" s="1"/>
      <c r="F8" s="1"/>
      <c r="G8" s="1"/>
      <c r="H8" s="1"/>
    </row>
    <row r="9" customFormat="false" ht="25" hidden="false" customHeight="true" outlineLevel="0" collapsed="false">
      <c r="A9" s="1" t="s">
        <v>7</v>
      </c>
      <c r="B9" s="1" t="n">
        <f aca="false">COUNTA(Shortlist!$K$6:$K$30)</f>
        <v>25</v>
      </c>
      <c r="C9" s="1"/>
      <c r="D9" s="1"/>
      <c r="E9" s="1"/>
      <c r="F9" s="1"/>
      <c r="G9" s="1"/>
      <c r="H9" s="1"/>
    </row>
    <row r="10" customFormat="false" ht="25" hidden="false" customHeight="true" outlineLevel="0" collapsed="false">
      <c r="A10" s="1"/>
      <c r="B10" s="1"/>
      <c r="C10" s="1"/>
      <c r="D10" s="1"/>
      <c r="E10" s="1"/>
      <c r="F10" s="1"/>
      <c r="G10" s="1"/>
      <c r="H10" s="1"/>
    </row>
    <row r="11" customFormat="false" ht="25" hidden="false" customHeight="true" outlineLevel="0" collapsed="false">
      <c r="A11" s="5" t="s">
        <v>8</v>
      </c>
      <c r="B11" s="1"/>
      <c r="C11" s="1"/>
      <c r="D11" s="1"/>
      <c r="E11" s="1"/>
      <c r="F11" s="1"/>
      <c r="G11" s="1"/>
      <c r="H11" s="1"/>
    </row>
    <row r="12" customFormat="false" ht="25" hidden="false" customHeight="true" outlineLevel="0" collapsed="false">
      <c r="A12" s="1" t="s">
        <v>9</v>
      </c>
      <c r="B12" s="1"/>
      <c r="C12" s="1"/>
      <c r="D12" s="1"/>
      <c r="E12" s="1"/>
      <c r="F12" s="1"/>
      <c r="G12" s="1"/>
      <c r="H12" s="1"/>
    </row>
    <row r="13" customFormat="false" ht="25" hidden="false" customHeight="true" outlineLevel="0" collapsed="false">
      <c r="A13" s="1" t="s">
        <v>10</v>
      </c>
      <c r="B13" s="1"/>
      <c r="C13" s="1"/>
      <c r="D13" s="1"/>
      <c r="E13" s="1"/>
      <c r="F13" s="1"/>
      <c r="G13" s="1"/>
      <c r="H13" s="1"/>
    </row>
    <row r="14" customFormat="false" ht="25" hidden="false" customHeight="true" outlineLevel="0" collapsed="false">
      <c r="A14" s="1" t="s">
        <v>11</v>
      </c>
      <c r="B14" s="1"/>
      <c r="C14" s="1"/>
      <c r="D14" s="1"/>
      <c r="E14" s="1"/>
      <c r="F14" s="1"/>
      <c r="G14" s="1"/>
      <c r="H14" s="1"/>
    </row>
    <row r="15" customFormat="false" ht="25" hidden="false" customHeight="true" outlineLevel="0" collapsed="false">
      <c r="A15" s="1" t="s">
        <v>12</v>
      </c>
      <c r="B15" s="1"/>
      <c r="C15" s="1"/>
      <c r="D15" s="1"/>
      <c r="E15" s="1"/>
      <c r="F15" s="1"/>
      <c r="G15" s="1"/>
      <c r="H15" s="1"/>
    </row>
    <row r="16" customFormat="false" ht="25" hidden="false" customHeight="true" outlineLevel="0" collapsed="false">
      <c r="A16" s="1" t="s">
        <v>13</v>
      </c>
      <c r="B16" s="1"/>
      <c r="C16" s="1"/>
      <c r="D16" s="1"/>
      <c r="E16" s="1"/>
      <c r="F16" s="1"/>
      <c r="G16" s="1"/>
      <c r="H16" s="1"/>
    </row>
    <row r="17" customFormat="false" ht="25" hidden="false" customHeight="true" outlineLevel="0" collapsed="false">
      <c r="A17" s="1" t="s">
        <v>14</v>
      </c>
      <c r="B17" s="1"/>
      <c r="C17" s="1"/>
      <c r="D17" s="1"/>
      <c r="E17" s="1"/>
      <c r="F17" s="1"/>
      <c r="G17" s="1"/>
      <c r="H17" s="1"/>
    </row>
    <row r="18" customFormat="false" ht="25" hidden="false" customHeight="true" outlineLevel="0" collapsed="false">
      <c r="A18" s="1" t="s">
        <v>15</v>
      </c>
      <c r="B18" s="1"/>
      <c r="C18" s="1"/>
      <c r="D18" s="1"/>
      <c r="E18" s="1"/>
      <c r="F18" s="1"/>
      <c r="G18" s="1"/>
      <c r="H18" s="1"/>
    </row>
    <row r="19" customFormat="false" ht="25" hidden="false" customHeight="true" outlineLevel="0" collapsed="false">
      <c r="A19" s="1" t="s">
        <v>16</v>
      </c>
      <c r="B19" s="1"/>
      <c r="C19" s="1"/>
      <c r="D19" s="1"/>
      <c r="E19" s="1"/>
      <c r="F19" s="1"/>
      <c r="G19" s="1"/>
      <c r="H19" s="1"/>
    </row>
    <row r="20" customFormat="false" ht="25" hidden="false" customHeight="true" outlineLevel="0" collapsed="false">
      <c r="A20" s="1" t="s">
        <v>17</v>
      </c>
      <c r="B20" s="1"/>
      <c r="C20" s="1"/>
      <c r="D20" s="1"/>
      <c r="E20" s="1"/>
      <c r="F20" s="1"/>
      <c r="G20" s="1"/>
      <c r="H20" s="1"/>
    </row>
    <row r="21" customFormat="false" ht="25" hidden="false" customHeight="true" outlineLevel="0" collapsed="false">
      <c r="A21" s="1" t="s">
        <v>18</v>
      </c>
      <c r="B21" s="1"/>
      <c r="C21" s="1"/>
      <c r="D21" s="1"/>
      <c r="E21" s="1"/>
      <c r="F21" s="1"/>
      <c r="G21" s="1"/>
      <c r="H21" s="1"/>
    </row>
    <row r="22" customFormat="false" ht="25" hidden="false" customHeight="tru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25" hidden="false" customHeight="true" outlineLevel="0" collapsed="false">
      <c r="A23" s="5" t="s">
        <v>19</v>
      </c>
      <c r="B23" s="1"/>
      <c r="C23" s="1"/>
      <c r="D23" s="1"/>
      <c r="E23" s="1"/>
      <c r="F23" s="1"/>
      <c r="G23" s="1"/>
      <c r="H23" s="1"/>
    </row>
    <row r="24" customFormat="false" ht="25" hidden="false" customHeight="true" outlineLevel="0" collapsed="false">
      <c r="A24" s="1" t="s">
        <v>20</v>
      </c>
      <c r="B24" s="1"/>
      <c r="C24" s="1"/>
      <c r="D24" s="1"/>
      <c r="E24" s="1"/>
      <c r="F24" s="1"/>
      <c r="G24" s="1"/>
      <c r="H24" s="1"/>
    </row>
    <row r="25" customFormat="false" ht="25" hidden="false" customHeight="true" outlineLevel="0" collapsed="false">
      <c r="A25" s="1" t="s">
        <v>21</v>
      </c>
      <c r="B25" s="1"/>
      <c r="C25" s="1"/>
      <c r="D25" s="1"/>
      <c r="E25" s="1"/>
      <c r="F25" s="1"/>
      <c r="G25" s="1"/>
      <c r="H25" s="1"/>
    </row>
    <row r="26" customFormat="false" ht="25" hidden="false" customHeight="true" outlineLevel="0" collapsed="false">
      <c r="A26" s="1" t="s">
        <v>22</v>
      </c>
      <c r="B26" s="1"/>
      <c r="C26" s="1"/>
      <c r="D26" s="1"/>
      <c r="E26" s="1"/>
      <c r="F26" s="1"/>
      <c r="G26" s="1"/>
      <c r="H26" s="1"/>
    </row>
    <row r="27" customFormat="false" ht="25" hidden="false" customHeight="true" outlineLevel="0" collapsed="false">
      <c r="A27" s="1" t="s">
        <v>23</v>
      </c>
      <c r="B27" s="1"/>
      <c r="C27" s="1"/>
      <c r="D27" s="1"/>
      <c r="E27" s="1"/>
      <c r="F27" s="1"/>
      <c r="G27" s="1"/>
      <c r="H27" s="1"/>
    </row>
    <row r="28" customFormat="false" ht="25" hidden="false" customHeight="true" outlineLevel="0" collapsed="false">
      <c r="A28" s="1" t="s">
        <v>24</v>
      </c>
      <c r="B28" s="1"/>
      <c r="C28" s="1"/>
      <c r="D28" s="1"/>
      <c r="E28" s="1"/>
      <c r="F28" s="1"/>
      <c r="G28" s="1"/>
      <c r="H28" s="1"/>
    </row>
    <row r="29" customFormat="false" ht="25" hidden="false" customHeight="true" outlineLevel="0" collapsed="false">
      <c r="A29" s="1" t="s">
        <v>25</v>
      </c>
      <c r="B29" s="1"/>
      <c r="C29" s="1"/>
      <c r="D29" s="1"/>
      <c r="E29" s="1"/>
      <c r="F29" s="1"/>
      <c r="G29" s="1"/>
      <c r="H29" s="1"/>
    </row>
    <row r="30" customFormat="false" ht="25" hidden="false" customHeight="tru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25" hidden="false" customHeight="true" outlineLevel="0" collapsed="false">
      <c r="A31" s="5" t="s">
        <v>26</v>
      </c>
      <c r="B31" s="1"/>
      <c r="C31" s="1"/>
      <c r="D31" s="1"/>
      <c r="E31" s="1"/>
      <c r="F31" s="1"/>
      <c r="G31" s="1"/>
      <c r="H31" s="1"/>
    </row>
    <row r="32" customFormat="false" ht="25" hidden="false" customHeight="true" outlineLevel="0" collapsed="false">
      <c r="A32" s="1" t="s">
        <v>27</v>
      </c>
      <c r="B32" s="1"/>
      <c r="C32" s="1"/>
      <c r="D32" s="1"/>
      <c r="E32" s="1"/>
      <c r="F32" s="1"/>
      <c r="G32" s="1"/>
      <c r="H32" s="1"/>
    </row>
    <row r="33" customFormat="false" ht="25" hidden="false" customHeight="true" outlineLevel="0" collapsed="false">
      <c r="A33" s="1" t="s">
        <v>28</v>
      </c>
      <c r="B33" s="1"/>
      <c r="C33" s="1"/>
      <c r="D33" s="1"/>
      <c r="E33" s="1"/>
      <c r="F33" s="1"/>
      <c r="G33" s="1"/>
      <c r="H33" s="1"/>
    </row>
    <row r="34" customFormat="false" ht="25" hidden="false" customHeight="true" outlineLevel="0" collapsed="false">
      <c r="A34" s="1" t="s">
        <v>29</v>
      </c>
      <c r="B34" s="1"/>
      <c r="C34" s="1"/>
      <c r="D34" s="1"/>
      <c r="E34" s="1"/>
      <c r="F34" s="1"/>
      <c r="G34" s="1"/>
      <c r="H34" s="1"/>
    </row>
    <row r="35" customFormat="false" ht="25" hidden="false" customHeight="tru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25" hidden="false" customHeight="true" outlineLevel="0" collapsed="false">
      <c r="A36" s="1"/>
      <c r="B36" s="1"/>
      <c r="C36" s="1"/>
      <c r="D36" s="1"/>
      <c r="E36" s="1"/>
      <c r="F36" s="1"/>
      <c r="G36" s="1"/>
      <c r="H3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7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9" min="6" style="0" width="67"/>
    <col collapsed="false" customWidth="true" hidden="false" outlineLevel="0" max="10" min="10" style="0" width="59"/>
    <col collapsed="false" customWidth="true" hidden="false" outlineLevel="0" max="12" min="11" style="0" width="23"/>
    <col collapsed="false" customWidth="true" hidden="false" outlineLevel="0" max="13" min="13" style="0" width="49"/>
    <col collapsed="false" customWidth="true" hidden="false" outlineLevel="0" max="16" min="14" style="0" width="18"/>
  </cols>
  <sheetData>
    <row r="1" customFormat="false" ht="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5" hidden="false" customHeight="true" outlineLevel="0" collapsed="false">
      <c r="A2" s="2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25" hidden="false" customHeight="true" outlineLevel="0" collapsed="false">
      <c r="A3" s="3" t="s">
        <v>31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36" hidden="false" customHeight="true" outlineLevel="0" collapsed="false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40</v>
      </c>
      <c r="J5" s="6" t="s">
        <v>41</v>
      </c>
      <c r="K5" s="6" t="s">
        <v>42</v>
      </c>
      <c r="L5" s="6" t="s">
        <v>43</v>
      </c>
      <c r="M5" s="6" t="s">
        <v>44</v>
      </c>
      <c r="N5" s="6" t="s">
        <v>45</v>
      </c>
      <c r="O5" s="6" t="s">
        <v>46</v>
      </c>
      <c r="P5" s="6" t="s">
        <v>47</v>
      </c>
    </row>
    <row r="6" customFormat="false" ht="100" hidden="false" customHeight="true" outlineLevel="0" collapsed="false">
      <c r="A6" s="7" t="n">
        <v>1</v>
      </c>
      <c r="B6" s="7" t="s">
        <v>48</v>
      </c>
      <c r="C6" s="7" t="s">
        <v>49</v>
      </c>
      <c r="D6" s="7" t="n">
        <v>4</v>
      </c>
      <c r="E6" s="7" t="s">
        <v>50</v>
      </c>
      <c r="F6" s="7" t="s">
        <v>51</v>
      </c>
      <c r="G6" s="7" t="s">
        <v>52</v>
      </c>
      <c r="H6" s="7" t="s">
        <v>53</v>
      </c>
      <c r="I6" s="7" t="s">
        <v>54</v>
      </c>
      <c r="J6" s="7" t="str">
        <f aca="false">HYPERLINK("https://www.cqc.org.uk/location/1-20393312342","1-20393312342")</f>
        <v>1-20393312342</v>
      </c>
      <c r="K6" s="7" t="s">
        <v>55</v>
      </c>
      <c r="L6" s="7" t="s">
        <v>56</v>
      </c>
      <c r="M6" s="7" t="s">
        <v>57</v>
      </c>
      <c r="N6" s="8" t="n">
        <v>46266</v>
      </c>
      <c r="O6" s="8" t="n">
        <v>46273</v>
      </c>
      <c r="P6" s="7" t="s">
        <v>58</v>
      </c>
    </row>
    <row r="7" customFormat="false" ht="100" hidden="false" customHeight="true" outlineLevel="0" collapsed="false">
      <c r="A7" s="9" t="n">
        <v>2</v>
      </c>
      <c r="B7" s="9" t="s">
        <v>48</v>
      </c>
      <c r="C7" s="9" t="s">
        <v>59</v>
      </c>
      <c r="D7" s="9" t="n">
        <v>4</v>
      </c>
      <c r="E7" s="9" t="s">
        <v>50</v>
      </c>
      <c r="F7" s="9" t="s">
        <v>60</v>
      </c>
      <c r="G7" s="9" t="s">
        <v>61</v>
      </c>
      <c r="H7" s="9" t="s">
        <v>62</v>
      </c>
      <c r="I7" s="9" t="s">
        <v>54</v>
      </c>
      <c r="J7" s="9" t="str">
        <f aca="false">HYPERLINK("https://www.cqc.org.uk/location/1-2132613650","1-2132613650")</f>
        <v>1-2132613650</v>
      </c>
      <c r="K7" s="9" t="s">
        <v>63</v>
      </c>
      <c r="L7" s="9" t="s">
        <v>64</v>
      </c>
      <c r="M7" s="9" t="s">
        <v>65</v>
      </c>
      <c r="N7" s="10" t="n">
        <v>46266</v>
      </c>
      <c r="O7" s="10" t="n">
        <v>46273</v>
      </c>
      <c r="P7" s="9" t="s">
        <v>58</v>
      </c>
    </row>
    <row r="8" customFormat="false" ht="100" hidden="false" customHeight="true" outlineLevel="0" collapsed="false">
      <c r="A8" s="7" t="n">
        <v>3</v>
      </c>
      <c r="B8" s="7" t="s">
        <v>48</v>
      </c>
      <c r="C8" s="7" t="s">
        <v>66</v>
      </c>
      <c r="D8" s="7" t="n">
        <v>4</v>
      </c>
      <c r="E8" s="7" t="s">
        <v>50</v>
      </c>
      <c r="F8" s="7" t="s">
        <v>67</v>
      </c>
      <c r="G8" s="7" t="s">
        <v>68</v>
      </c>
      <c r="H8" s="7" t="s">
        <v>69</v>
      </c>
      <c r="I8" s="7" t="s">
        <v>54</v>
      </c>
      <c r="J8" s="7" t="str">
        <f aca="false">HYPERLINK("https://www.cqc.org.uk/location/1-15348190190","1-15348190190")</f>
        <v>1-15348190190</v>
      </c>
      <c r="K8" s="7" t="s">
        <v>70</v>
      </c>
      <c r="L8" s="7" t="s">
        <v>71</v>
      </c>
      <c r="M8" s="7" t="s">
        <v>72</v>
      </c>
      <c r="N8" s="8" t="n">
        <v>46266</v>
      </c>
      <c r="O8" s="8" t="n">
        <v>46273</v>
      </c>
      <c r="P8" s="7" t="s">
        <v>58</v>
      </c>
    </row>
    <row r="9" customFormat="false" ht="100" hidden="false" customHeight="true" outlineLevel="0" collapsed="false">
      <c r="A9" s="9" t="n">
        <v>4</v>
      </c>
      <c r="B9" s="9" t="s">
        <v>48</v>
      </c>
      <c r="C9" s="9" t="s">
        <v>73</v>
      </c>
      <c r="D9" s="9" t="n">
        <v>3</v>
      </c>
      <c r="E9" s="9" t="s">
        <v>50</v>
      </c>
      <c r="F9" s="9" t="s">
        <v>74</v>
      </c>
      <c r="G9" s="9" t="s">
        <v>75</v>
      </c>
      <c r="H9" s="9" t="s">
        <v>76</v>
      </c>
      <c r="I9" s="9" t="s">
        <v>54</v>
      </c>
      <c r="J9" s="9" t="str">
        <f aca="false">HYPERLINK("https://www.cqc.org.uk/location/1-10536207398","1-10536207398")</f>
        <v>1-10536207398</v>
      </c>
      <c r="K9" s="9" t="s">
        <v>77</v>
      </c>
      <c r="L9" s="9" t="s">
        <v>78</v>
      </c>
      <c r="M9" s="9" t="s">
        <v>79</v>
      </c>
      <c r="N9" s="10" t="n">
        <v>46266</v>
      </c>
      <c r="O9" s="10" t="n">
        <v>46273</v>
      </c>
      <c r="P9" s="9" t="s">
        <v>58</v>
      </c>
    </row>
    <row r="10" customFormat="false" ht="100" hidden="false" customHeight="true" outlineLevel="0" collapsed="false">
      <c r="A10" s="7" t="n">
        <v>5</v>
      </c>
      <c r="B10" s="7" t="s">
        <v>48</v>
      </c>
      <c r="C10" s="7" t="s">
        <v>80</v>
      </c>
      <c r="D10" s="7" t="n">
        <v>3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54</v>
      </c>
      <c r="J10" s="7" t="str">
        <f aca="false">HYPERLINK("https://www.cqc.org.uk/location/1-10477635417","1-10477635417")</f>
        <v>1-10477635417</v>
      </c>
      <c r="K10" s="7" t="s">
        <v>85</v>
      </c>
      <c r="L10" s="7" t="s">
        <v>86</v>
      </c>
      <c r="M10" s="7" t="s">
        <v>87</v>
      </c>
      <c r="N10" s="8" t="n">
        <v>46266</v>
      </c>
      <c r="O10" s="8" t="n">
        <v>46273</v>
      </c>
      <c r="P10" s="7" t="s">
        <v>58</v>
      </c>
    </row>
    <row r="11" customFormat="false" ht="100" hidden="false" customHeight="true" outlineLevel="0" collapsed="false">
      <c r="A11" s="9" t="n">
        <v>6</v>
      </c>
      <c r="B11" s="9" t="s">
        <v>48</v>
      </c>
      <c r="C11" s="9" t="s">
        <v>88</v>
      </c>
      <c r="D11" s="9" t="n">
        <v>3</v>
      </c>
      <c r="E11" s="9" t="s">
        <v>50</v>
      </c>
      <c r="F11" s="9" t="s">
        <v>89</v>
      </c>
      <c r="G11" s="9" t="s">
        <v>90</v>
      </c>
      <c r="H11" s="9" t="s">
        <v>91</v>
      </c>
      <c r="I11" s="9" t="s">
        <v>54</v>
      </c>
      <c r="J11" s="9" t="str">
        <f aca="false">HYPERLINK("https://www.cqc.org.uk/location/1-10285717693","1-10285717693")</f>
        <v>1-10285717693</v>
      </c>
      <c r="K11" s="9" t="s">
        <v>92</v>
      </c>
      <c r="L11" s="9" t="s">
        <v>93</v>
      </c>
      <c r="M11" s="9" t="s">
        <v>94</v>
      </c>
      <c r="N11" s="10" t="n">
        <v>46266</v>
      </c>
      <c r="O11" s="10" t="n">
        <v>46273</v>
      </c>
      <c r="P11" s="9" t="s">
        <v>58</v>
      </c>
    </row>
    <row r="12" customFormat="false" ht="100" hidden="false" customHeight="true" outlineLevel="0" collapsed="false">
      <c r="A12" s="7" t="n">
        <v>7</v>
      </c>
      <c r="B12" s="7" t="s">
        <v>48</v>
      </c>
      <c r="C12" s="7" t="s">
        <v>95</v>
      </c>
      <c r="D12" s="7" t="n">
        <v>2</v>
      </c>
      <c r="E12" s="7" t="s">
        <v>50</v>
      </c>
      <c r="F12" s="7" t="s">
        <v>96</v>
      </c>
      <c r="G12" s="7" t="s">
        <v>97</v>
      </c>
      <c r="H12" s="7" t="s">
        <v>98</v>
      </c>
      <c r="I12" s="7" t="s">
        <v>54</v>
      </c>
      <c r="J12" s="7" t="str">
        <f aca="false">HYPERLINK("https://www.cqc.org.uk/location/1-28707271724","1-28707271724")</f>
        <v>1-28707271724</v>
      </c>
      <c r="K12" s="7" t="s">
        <v>99</v>
      </c>
      <c r="L12" s="7" t="s">
        <v>100</v>
      </c>
      <c r="M12" s="7" t="s">
        <v>101</v>
      </c>
      <c r="N12" s="8" t="n">
        <v>46266</v>
      </c>
      <c r="O12" s="8" t="n">
        <v>46273</v>
      </c>
      <c r="P12" s="7" t="s">
        <v>58</v>
      </c>
    </row>
    <row r="13" customFormat="false" ht="100" hidden="false" customHeight="true" outlineLevel="0" collapsed="false">
      <c r="A13" s="9" t="n">
        <v>8</v>
      </c>
      <c r="B13" s="9" t="s">
        <v>48</v>
      </c>
      <c r="C13" s="9" t="s">
        <v>102</v>
      </c>
      <c r="D13" s="9" t="n">
        <v>2</v>
      </c>
      <c r="E13" s="9" t="s">
        <v>81</v>
      </c>
      <c r="F13" s="9" t="s">
        <v>103</v>
      </c>
      <c r="G13" s="9" t="s">
        <v>104</v>
      </c>
      <c r="H13" s="9" t="s">
        <v>105</v>
      </c>
      <c r="I13" s="9" t="s">
        <v>54</v>
      </c>
      <c r="J13" s="9" t="str">
        <f aca="false">HYPERLINK("https://www.cqc.org.uk/location/1-1070803341","1-1070803341")</f>
        <v>1-1070803341</v>
      </c>
      <c r="K13" s="9" t="s">
        <v>106</v>
      </c>
      <c r="L13" s="9" t="s">
        <v>107</v>
      </c>
      <c r="M13" s="9" t="s">
        <v>108</v>
      </c>
      <c r="N13" s="10" t="n">
        <v>46266</v>
      </c>
      <c r="O13" s="10" t="n">
        <v>46273</v>
      </c>
      <c r="P13" s="9" t="s">
        <v>58</v>
      </c>
    </row>
    <row r="14" customFormat="false" ht="100" hidden="false" customHeight="true" outlineLevel="0" collapsed="false">
      <c r="A14" s="7" t="n">
        <v>9</v>
      </c>
      <c r="B14" s="7" t="s">
        <v>48</v>
      </c>
      <c r="C14" s="7" t="s">
        <v>109</v>
      </c>
      <c r="D14" s="7" t="n">
        <v>2</v>
      </c>
      <c r="E14" s="7" t="s">
        <v>50</v>
      </c>
      <c r="F14" s="7" t="s">
        <v>110</v>
      </c>
      <c r="G14" s="7" t="s">
        <v>111</v>
      </c>
      <c r="H14" s="7" t="s">
        <v>112</v>
      </c>
      <c r="I14" s="7" t="s">
        <v>54</v>
      </c>
      <c r="J14" s="7" t="str">
        <f aca="false">HYPERLINK("https://www.cqc.org.uk/location/1-20173366121","1-20173366121")</f>
        <v>1-20173366121</v>
      </c>
      <c r="K14" s="7" t="s">
        <v>113</v>
      </c>
      <c r="L14" s="7" t="s">
        <v>114</v>
      </c>
      <c r="M14" s="7" t="s">
        <v>115</v>
      </c>
      <c r="N14" s="8" t="n">
        <v>46266</v>
      </c>
      <c r="O14" s="8" t="n">
        <v>46273</v>
      </c>
      <c r="P14" s="7" t="s">
        <v>58</v>
      </c>
    </row>
    <row r="15" customFormat="false" ht="100" hidden="false" customHeight="true" outlineLevel="0" collapsed="false">
      <c r="A15" s="9" t="n">
        <v>10</v>
      </c>
      <c r="B15" s="9" t="s">
        <v>48</v>
      </c>
      <c r="C15" s="9" t="s">
        <v>116</v>
      </c>
      <c r="D15" s="9" t="n">
        <v>2</v>
      </c>
      <c r="E15" s="9" t="s">
        <v>81</v>
      </c>
      <c r="F15" s="9" t="s">
        <v>117</v>
      </c>
      <c r="G15" s="9" t="s">
        <v>118</v>
      </c>
      <c r="H15" s="9" t="s">
        <v>119</v>
      </c>
      <c r="I15" s="9" t="s">
        <v>54</v>
      </c>
      <c r="J15" s="9" t="str">
        <f aca="false">HYPERLINK("https://www.cqc.org.uk/location/1-15308166952","1-15308166952")</f>
        <v>1-15308166952</v>
      </c>
      <c r="K15" s="9" t="s">
        <v>120</v>
      </c>
      <c r="L15" s="9" t="s">
        <v>121</v>
      </c>
      <c r="M15" s="9" t="s">
        <v>122</v>
      </c>
      <c r="N15" s="10" t="n">
        <v>46266</v>
      </c>
      <c r="O15" s="10" t="n">
        <v>46273</v>
      </c>
      <c r="P15" s="9" t="s">
        <v>58</v>
      </c>
    </row>
    <row r="16" customFormat="false" ht="100" hidden="false" customHeight="true" outlineLevel="0" collapsed="false">
      <c r="A16" s="7" t="n">
        <v>11</v>
      </c>
      <c r="B16" s="7" t="s">
        <v>48</v>
      </c>
      <c r="C16" s="7" t="s">
        <v>123</v>
      </c>
      <c r="D16" s="7" t="n">
        <v>2</v>
      </c>
      <c r="E16" s="7" t="s">
        <v>50</v>
      </c>
      <c r="F16" s="7" t="s">
        <v>124</v>
      </c>
      <c r="G16" s="7" t="s">
        <v>125</v>
      </c>
      <c r="H16" s="7" t="s">
        <v>126</v>
      </c>
      <c r="I16" s="7" t="s">
        <v>54</v>
      </c>
      <c r="J16" s="7" t="str">
        <f aca="false">HYPERLINK("https://www.cqc.org.uk/location/1-15550434100","1-15550434100")</f>
        <v>1-15550434100</v>
      </c>
      <c r="K16" s="7" t="s">
        <v>127</v>
      </c>
      <c r="L16" s="7" t="s">
        <v>128</v>
      </c>
      <c r="M16" s="7" t="s">
        <v>129</v>
      </c>
      <c r="N16" s="8" t="n">
        <v>46266</v>
      </c>
      <c r="O16" s="8" t="n">
        <v>46273</v>
      </c>
      <c r="P16" s="7" t="s">
        <v>58</v>
      </c>
    </row>
    <row r="17" customFormat="false" ht="100" hidden="false" customHeight="true" outlineLevel="0" collapsed="false">
      <c r="A17" s="9" t="n">
        <v>12</v>
      </c>
      <c r="B17" s="9" t="s">
        <v>48</v>
      </c>
      <c r="C17" s="9" t="s">
        <v>130</v>
      </c>
      <c r="D17" s="9" t="n">
        <v>2</v>
      </c>
      <c r="E17" s="9" t="s">
        <v>81</v>
      </c>
      <c r="F17" s="9" t="s">
        <v>131</v>
      </c>
      <c r="G17" s="9" t="s">
        <v>132</v>
      </c>
      <c r="H17" s="9" t="s">
        <v>133</v>
      </c>
      <c r="I17" s="9" t="s">
        <v>54</v>
      </c>
      <c r="J17" s="9" t="str">
        <f aca="false">HYPERLINK("https://www.cqc.org.uk/location/1-10437669514","1-10437669514")</f>
        <v>1-10437669514</v>
      </c>
      <c r="K17" s="9" t="s">
        <v>134</v>
      </c>
      <c r="L17" s="9" t="s">
        <v>135</v>
      </c>
      <c r="M17" s="9" t="s">
        <v>136</v>
      </c>
      <c r="N17" s="10" t="n">
        <v>46266</v>
      </c>
      <c r="O17" s="10" t="n">
        <v>46273</v>
      </c>
      <c r="P17" s="9" t="s">
        <v>58</v>
      </c>
    </row>
    <row r="18" customFormat="false" ht="100" hidden="false" customHeight="true" outlineLevel="0" collapsed="false">
      <c r="A18" s="7" t="n">
        <v>13</v>
      </c>
      <c r="B18" s="7" t="s">
        <v>48</v>
      </c>
      <c r="C18" s="7" t="s">
        <v>137</v>
      </c>
      <c r="D18" s="7" t="n">
        <v>2</v>
      </c>
      <c r="E18" s="7" t="s">
        <v>50</v>
      </c>
      <c r="F18" s="7" t="s">
        <v>138</v>
      </c>
      <c r="G18" s="7" t="s">
        <v>139</v>
      </c>
      <c r="H18" s="7" t="s">
        <v>140</v>
      </c>
      <c r="I18" s="7" t="s">
        <v>54</v>
      </c>
      <c r="J18" s="7" t="str">
        <f aca="false">HYPERLINK("https://www.cqc.org.uk/location/1-25605647286","1-25605647286")</f>
        <v>1-25605647286</v>
      </c>
      <c r="K18" s="7" t="s">
        <v>141</v>
      </c>
      <c r="L18" s="7" t="s">
        <v>142</v>
      </c>
      <c r="M18" s="7" t="s">
        <v>143</v>
      </c>
      <c r="N18" s="8" t="n">
        <v>46266</v>
      </c>
      <c r="O18" s="8" t="n">
        <v>46273</v>
      </c>
      <c r="P18" s="7" t="s">
        <v>58</v>
      </c>
    </row>
    <row r="19" customFormat="false" ht="100" hidden="false" customHeight="true" outlineLevel="0" collapsed="false">
      <c r="A19" s="9" t="n">
        <v>14</v>
      </c>
      <c r="B19" s="9" t="s">
        <v>48</v>
      </c>
      <c r="C19" s="9" t="s">
        <v>144</v>
      </c>
      <c r="D19" s="9" t="n">
        <v>2</v>
      </c>
      <c r="E19" s="9" t="s">
        <v>81</v>
      </c>
      <c r="F19" s="9" t="s">
        <v>131</v>
      </c>
      <c r="G19" s="9" t="s">
        <v>145</v>
      </c>
      <c r="H19" s="9" t="s">
        <v>146</v>
      </c>
      <c r="I19" s="9" t="s">
        <v>54</v>
      </c>
      <c r="J19" s="9" t="str">
        <f aca="false">HYPERLINK("https://www.cqc.org.uk/location/1-25872774764","1-25872774764")</f>
        <v>1-25872774764</v>
      </c>
      <c r="K19" s="9" t="s">
        <v>147</v>
      </c>
      <c r="L19" s="9" t="s">
        <v>148</v>
      </c>
      <c r="M19" s="9" t="s">
        <v>149</v>
      </c>
      <c r="N19" s="10" t="n">
        <v>46266</v>
      </c>
      <c r="O19" s="10" t="n">
        <v>46273</v>
      </c>
      <c r="P19" s="9" t="s">
        <v>58</v>
      </c>
    </row>
    <row r="20" customFormat="false" ht="100" hidden="false" customHeight="true" outlineLevel="0" collapsed="false">
      <c r="A20" s="7" t="n">
        <v>15</v>
      </c>
      <c r="B20" s="7" t="s">
        <v>48</v>
      </c>
      <c r="C20" s="7" t="s">
        <v>150</v>
      </c>
      <c r="D20" s="7" t="n">
        <v>2</v>
      </c>
      <c r="E20" s="7" t="s">
        <v>81</v>
      </c>
      <c r="F20" s="7" t="s">
        <v>131</v>
      </c>
      <c r="G20" s="7" t="s">
        <v>151</v>
      </c>
      <c r="H20" s="7" t="s">
        <v>152</v>
      </c>
      <c r="I20" s="7" t="s">
        <v>54</v>
      </c>
      <c r="J20" s="7" t="str">
        <f aca="false">HYPERLINK("https://www.cqc.org.uk/location/1-15152271370","1-15152271370")</f>
        <v>1-15152271370</v>
      </c>
      <c r="K20" s="7" t="s">
        <v>153</v>
      </c>
      <c r="L20" s="7" t="s">
        <v>154</v>
      </c>
      <c r="M20" s="7" t="s">
        <v>150</v>
      </c>
      <c r="N20" s="8" t="n">
        <v>46266</v>
      </c>
      <c r="O20" s="8" t="n">
        <v>46273</v>
      </c>
      <c r="P20" s="7" t="s">
        <v>58</v>
      </c>
    </row>
    <row r="21" customFormat="false" ht="100" hidden="false" customHeight="true" outlineLevel="0" collapsed="false">
      <c r="A21" s="9" t="n">
        <v>16</v>
      </c>
      <c r="B21" s="9" t="s">
        <v>155</v>
      </c>
      <c r="C21" s="9" t="s">
        <v>156</v>
      </c>
      <c r="D21" s="9" t="n">
        <v>1</v>
      </c>
      <c r="E21" s="9" t="s">
        <v>50</v>
      </c>
      <c r="F21" s="9" t="s">
        <v>157</v>
      </c>
      <c r="G21" s="9" t="s">
        <v>158</v>
      </c>
      <c r="H21" s="9" t="s">
        <v>159</v>
      </c>
      <c r="I21" s="9" t="s">
        <v>54</v>
      </c>
      <c r="J21" s="9" t="str">
        <f aca="false">HYPERLINK("https://www.cqc.org.uk/location/1-29000938515","1-29000938515")</f>
        <v>1-29000938515</v>
      </c>
      <c r="K21" s="9" t="s">
        <v>160</v>
      </c>
      <c r="L21" s="9" t="s">
        <v>161</v>
      </c>
      <c r="M21" s="9" t="s">
        <v>156</v>
      </c>
      <c r="N21" s="10" t="n">
        <v>46266</v>
      </c>
      <c r="O21" s="10" t="n">
        <v>46273</v>
      </c>
      <c r="P21" s="9" t="s">
        <v>58</v>
      </c>
    </row>
    <row r="22" customFormat="false" ht="100" hidden="false" customHeight="true" outlineLevel="0" collapsed="false">
      <c r="A22" s="7" t="n">
        <v>17</v>
      </c>
      <c r="B22" s="7" t="s">
        <v>155</v>
      </c>
      <c r="C22" s="7" t="s">
        <v>162</v>
      </c>
      <c r="D22" s="7" t="n">
        <v>1</v>
      </c>
      <c r="E22" s="7" t="s">
        <v>81</v>
      </c>
      <c r="F22" s="7" t="s">
        <v>163</v>
      </c>
      <c r="G22" s="7" t="s">
        <v>164</v>
      </c>
      <c r="H22" s="7" t="s">
        <v>165</v>
      </c>
      <c r="I22" s="7" t="s">
        <v>54</v>
      </c>
      <c r="J22" s="7" t="str">
        <f aca="false">HYPERLINK("https://www.cqc.org.uk/location/1-27510111922","1-27510111922")</f>
        <v>1-27510111922</v>
      </c>
      <c r="K22" s="7" t="s">
        <v>166</v>
      </c>
      <c r="L22" s="7" t="s">
        <v>167</v>
      </c>
      <c r="M22" s="7" t="s">
        <v>162</v>
      </c>
      <c r="N22" s="8" t="n">
        <v>46266</v>
      </c>
      <c r="O22" s="8" t="n">
        <v>46273</v>
      </c>
      <c r="P22" s="7" t="s">
        <v>58</v>
      </c>
    </row>
    <row r="23" customFormat="false" ht="100" hidden="false" customHeight="true" outlineLevel="0" collapsed="false">
      <c r="A23" s="9" t="n">
        <v>18</v>
      </c>
      <c r="B23" s="9" t="s">
        <v>155</v>
      </c>
      <c r="C23" s="9" t="s">
        <v>168</v>
      </c>
      <c r="D23" s="9" t="n">
        <v>1</v>
      </c>
      <c r="E23" s="9" t="s">
        <v>50</v>
      </c>
      <c r="F23" s="9" t="s">
        <v>169</v>
      </c>
      <c r="G23" s="9" t="s">
        <v>170</v>
      </c>
      <c r="H23" s="9" t="s">
        <v>171</v>
      </c>
      <c r="I23" s="9" t="s">
        <v>54</v>
      </c>
      <c r="J23" s="9" t="str">
        <f aca="false">HYPERLINK("https://www.cqc.org.uk/location/1-27481819229","1-27481819229")</f>
        <v>1-27481819229</v>
      </c>
      <c r="K23" s="9" t="s">
        <v>172</v>
      </c>
      <c r="L23" s="9" t="s">
        <v>173</v>
      </c>
      <c r="M23" s="9" t="s">
        <v>168</v>
      </c>
      <c r="N23" s="10" t="n">
        <v>46266</v>
      </c>
      <c r="O23" s="10" t="n">
        <v>46273</v>
      </c>
      <c r="P23" s="9" t="s">
        <v>58</v>
      </c>
    </row>
    <row r="24" customFormat="false" ht="100" hidden="false" customHeight="true" outlineLevel="0" collapsed="false">
      <c r="A24" s="7" t="n">
        <v>19</v>
      </c>
      <c r="B24" s="7" t="s">
        <v>155</v>
      </c>
      <c r="C24" s="7" t="s">
        <v>174</v>
      </c>
      <c r="D24" s="7" t="n">
        <v>1</v>
      </c>
      <c r="E24" s="7" t="s">
        <v>50</v>
      </c>
      <c r="F24" s="7" t="s">
        <v>175</v>
      </c>
      <c r="G24" s="7" t="s">
        <v>176</v>
      </c>
      <c r="H24" s="7" t="s">
        <v>177</v>
      </c>
      <c r="I24" s="7" t="s">
        <v>54</v>
      </c>
      <c r="J24" s="7" t="str">
        <f aca="false">HYPERLINK("https://www.cqc.org.uk/location/1-27095662090","1-27095662090")</f>
        <v>1-27095662090</v>
      </c>
      <c r="K24" s="7" t="s">
        <v>178</v>
      </c>
      <c r="L24" s="7" t="s">
        <v>179</v>
      </c>
      <c r="M24" s="7" t="s">
        <v>174</v>
      </c>
      <c r="N24" s="8" t="n">
        <v>46266</v>
      </c>
      <c r="O24" s="8" t="n">
        <v>46273</v>
      </c>
      <c r="P24" s="7" t="s">
        <v>58</v>
      </c>
    </row>
    <row r="25" customFormat="false" ht="100" hidden="false" customHeight="true" outlineLevel="0" collapsed="false">
      <c r="A25" s="9" t="n">
        <v>20</v>
      </c>
      <c r="B25" s="9" t="s">
        <v>155</v>
      </c>
      <c r="C25" s="9" t="s">
        <v>180</v>
      </c>
      <c r="D25" s="9" t="n">
        <v>1</v>
      </c>
      <c r="E25" s="9" t="s">
        <v>81</v>
      </c>
      <c r="F25" s="9" t="s">
        <v>181</v>
      </c>
      <c r="G25" s="9" t="s">
        <v>182</v>
      </c>
      <c r="H25" s="9" t="s">
        <v>183</v>
      </c>
      <c r="I25" s="9" t="s">
        <v>54</v>
      </c>
      <c r="J25" s="9" t="str">
        <f aca="false">HYPERLINK("https://www.cqc.org.uk/location/1-27000963245","1-27000963245")</f>
        <v>1-27000963245</v>
      </c>
      <c r="K25" s="9" t="s">
        <v>184</v>
      </c>
      <c r="L25" s="9" t="s">
        <v>185</v>
      </c>
      <c r="M25" s="9" t="s">
        <v>180</v>
      </c>
      <c r="N25" s="10" t="n">
        <v>46266</v>
      </c>
      <c r="O25" s="10" t="n">
        <v>46273</v>
      </c>
      <c r="P25" s="9" t="s">
        <v>58</v>
      </c>
    </row>
    <row r="26" customFormat="false" ht="100" hidden="false" customHeight="true" outlineLevel="0" collapsed="false">
      <c r="A26" s="7" t="n">
        <v>21</v>
      </c>
      <c r="B26" s="7" t="s">
        <v>155</v>
      </c>
      <c r="C26" s="7" t="s">
        <v>186</v>
      </c>
      <c r="D26" s="7" t="n">
        <v>1</v>
      </c>
      <c r="E26" s="7" t="s">
        <v>50</v>
      </c>
      <c r="F26" s="7" t="s">
        <v>187</v>
      </c>
      <c r="G26" s="7" t="s">
        <v>188</v>
      </c>
      <c r="H26" s="7" t="s">
        <v>189</v>
      </c>
      <c r="I26" s="7" t="s">
        <v>54</v>
      </c>
      <c r="J26" s="7" t="str">
        <f aca="false">HYPERLINK("https://www.cqc.org.uk/location/1-26963512859","1-26963512859")</f>
        <v>1-26963512859</v>
      </c>
      <c r="K26" s="7" t="s">
        <v>190</v>
      </c>
      <c r="L26" s="7" t="s">
        <v>191</v>
      </c>
      <c r="M26" s="7" t="s">
        <v>186</v>
      </c>
      <c r="N26" s="8" t="n">
        <v>46266</v>
      </c>
      <c r="O26" s="8" t="n">
        <v>46273</v>
      </c>
      <c r="P26" s="7" t="s">
        <v>58</v>
      </c>
    </row>
    <row r="27" customFormat="false" ht="100" hidden="false" customHeight="true" outlineLevel="0" collapsed="false">
      <c r="A27" s="9" t="n">
        <v>22</v>
      </c>
      <c r="B27" s="9" t="s">
        <v>155</v>
      </c>
      <c r="C27" s="9" t="s">
        <v>192</v>
      </c>
      <c r="D27" s="9" t="n">
        <v>1</v>
      </c>
      <c r="E27" s="9" t="s">
        <v>50</v>
      </c>
      <c r="F27" s="9" t="s">
        <v>193</v>
      </c>
      <c r="G27" s="9" t="s">
        <v>194</v>
      </c>
      <c r="H27" s="9" t="s">
        <v>195</v>
      </c>
      <c r="I27" s="9" t="s">
        <v>54</v>
      </c>
      <c r="J27" s="9" t="str">
        <f aca="false">HYPERLINK("https://www.cqc.org.uk/location/1-26682155005","1-26682155005")</f>
        <v>1-26682155005</v>
      </c>
      <c r="K27" s="9" t="s">
        <v>196</v>
      </c>
      <c r="L27" s="9" t="s">
        <v>197</v>
      </c>
      <c r="M27" s="9" t="s">
        <v>198</v>
      </c>
      <c r="N27" s="10" t="n">
        <v>46266</v>
      </c>
      <c r="O27" s="10" t="n">
        <v>46273</v>
      </c>
      <c r="P27" s="9" t="s">
        <v>58</v>
      </c>
    </row>
    <row r="28" customFormat="false" ht="100" hidden="false" customHeight="true" outlineLevel="0" collapsed="false">
      <c r="A28" s="7" t="n">
        <v>23</v>
      </c>
      <c r="B28" s="7" t="s">
        <v>155</v>
      </c>
      <c r="C28" s="7" t="s">
        <v>199</v>
      </c>
      <c r="D28" s="7" t="n">
        <v>1</v>
      </c>
      <c r="E28" s="7" t="s">
        <v>50</v>
      </c>
      <c r="F28" s="7" t="s">
        <v>200</v>
      </c>
      <c r="G28" s="7" t="s">
        <v>201</v>
      </c>
      <c r="H28" s="7" t="s">
        <v>202</v>
      </c>
      <c r="I28" s="7" t="s">
        <v>54</v>
      </c>
      <c r="J28" s="7" t="str">
        <f aca="false">HYPERLINK("https://www.cqc.org.uk/location/1-26602914843","1-26602914843")</f>
        <v>1-26602914843</v>
      </c>
      <c r="K28" s="7" t="s">
        <v>203</v>
      </c>
      <c r="L28" s="7" t="s">
        <v>204</v>
      </c>
      <c r="M28" s="7" t="s">
        <v>199</v>
      </c>
      <c r="N28" s="8" t="n">
        <v>46266</v>
      </c>
      <c r="O28" s="8" t="n">
        <v>46273</v>
      </c>
      <c r="P28" s="7" t="s">
        <v>58</v>
      </c>
    </row>
    <row r="29" customFormat="false" ht="100" hidden="false" customHeight="true" outlineLevel="0" collapsed="false">
      <c r="A29" s="9" t="n">
        <v>24</v>
      </c>
      <c r="B29" s="9" t="s">
        <v>155</v>
      </c>
      <c r="C29" s="9" t="s">
        <v>205</v>
      </c>
      <c r="D29" s="9" t="n">
        <v>1</v>
      </c>
      <c r="E29" s="9" t="s">
        <v>81</v>
      </c>
      <c r="F29" s="9" t="s">
        <v>206</v>
      </c>
      <c r="G29" s="9" t="s">
        <v>207</v>
      </c>
      <c r="H29" s="9" t="s">
        <v>208</v>
      </c>
      <c r="I29" s="9" t="s">
        <v>54</v>
      </c>
      <c r="J29" s="9" t="str">
        <f aca="false">HYPERLINK("https://www.cqc.org.uk/location/1-24208834549","1-24208834549")</f>
        <v>1-24208834549</v>
      </c>
      <c r="K29" s="9" t="s">
        <v>209</v>
      </c>
      <c r="L29" s="9" t="s">
        <v>210</v>
      </c>
      <c r="M29" s="9" t="s">
        <v>211</v>
      </c>
      <c r="N29" s="10" t="n">
        <v>46266</v>
      </c>
      <c r="O29" s="10" t="n">
        <v>46273</v>
      </c>
      <c r="P29" s="9" t="s">
        <v>58</v>
      </c>
    </row>
    <row r="30" customFormat="false" ht="100" hidden="false" customHeight="true" outlineLevel="0" collapsed="false">
      <c r="A30" s="7" t="n">
        <v>25</v>
      </c>
      <c r="B30" s="7" t="s">
        <v>155</v>
      </c>
      <c r="C30" s="7" t="s">
        <v>212</v>
      </c>
      <c r="D30" s="7" t="n">
        <v>1</v>
      </c>
      <c r="E30" s="7" t="s">
        <v>81</v>
      </c>
      <c r="F30" s="7" t="s">
        <v>213</v>
      </c>
      <c r="G30" s="7" t="s">
        <v>214</v>
      </c>
      <c r="H30" s="7" t="s">
        <v>215</v>
      </c>
      <c r="I30" s="7" t="s">
        <v>54</v>
      </c>
      <c r="J30" s="7" t="str">
        <f aca="false">HYPERLINK("https://www.cqc.org.uk/location/1-26103753760","1-26103753760")</f>
        <v>1-26103753760</v>
      </c>
      <c r="K30" s="7" t="s">
        <v>216</v>
      </c>
      <c r="L30" s="7" t="s">
        <v>217</v>
      </c>
      <c r="M30" s="7" t="s">
        <v>212</v>
      </c>
      <c r="N30" s="8" t="n">
        <v>46266</v>
      </c>
      <c r="O30" s="8" t="n">
        <v>46273</v>
      </c>
      <c r="P30" s="7" t="s">
        <v>58</v>
      </c>
    </row>
    <row r="31" customFormat="false" ht="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3" min="2" style="0" width="57"/>
    <col collapsed="false" customWidth="true" hidden="false" outlineLevel="0" max="4" min="4" style="0" width="27"/>
    <col collapsed="false" customWidth="true" hidden="false" outlineLevel="0" max="6" min="5" style="0" width="20"/>
    <col collapsed="false" customWidth="true" hidden="false" outlineLevel="0" max="10" min="7" style="0" width="22"/>
    <col collapsed="false" customWidth="true" hidden="false" outlineLevel="0" max="12" min="11" style="0" width="65"/>
    <col collapsed="false" customWidth="true" hidden="false" outlineLevel="0" max="15" min="13" style="0" width="22"/>
    <col collapsed="false" customWidth="true" hidden="false" outlineLevel="0" max="17" min="16" style="0" width="65"/>
    <col collapsed="false" customWidth="true" hidden="false" outlineLevel="0" max="21" min="18" style="0" width="22"/>
  </cols>
  <sheetData>
    <row r="1" customFormat="false" ht="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5" hidden="false" customHeight="true" outlineLevel="0" collapsed="false">
      <c r="A2" s="2" t="s">
        <v>218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25" hidden="false" customHeight="true" outlineLevel="0" collapsed="false">
      <c r="A3" s="3" t="s">
        <v>219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customFormat="false" ht="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36" hidden="false" customHeight="true" outlineLevel="0" collapsed="false">
      <c r="A5" s="6" t="s">
        <v>43</v>
      </c>
      <c r="B5" s="6" t="s">
        <v>220</v>
      </c>
      <c r="C5" s="6" t="s">
        <v>34</v>
      </c>
      <c r="D5" s="6" t="s">
        <v>42</v>
      </c>
      <c r="E5" s="6" t="s">
        <v>221</v>
      </c>
      <c r="F5" s="6" t="s">
        <v>222</v>
      </c>
      <c r="G5" s="6" t="s">
        <v>223</v>
      </c>
      <c r="H5" s="6" t="s">
        <v>224</v>
      </c>
      <c r="I5" s="6" t="s">
        <v>225</v>
      </c>
      <c r="J5" s="6" t="s">
        <v>226</v>
      </c>
      <c r="K5" s="6" t="s">
        <v>227</v>
      </c>
      <c r="L5" s="6" t="s">
        <v>228</v>
      </c>
      <c r="M5" s="6" t="s">
        <v>229</v>
      </c>
      <c r="N5" s="6" t="s">
        <v>230</v>
      </c>
      <c r="O5" s="6" t="s">
        <v>231</v>
      </c>
      <c r="P5" s="6" t="s">
        <v>232</v>
      </c>
      <c r="Q5" s="6" t="s">
        <v>233</v>
      </c>
      <c r="R5" s="6" t="s">
        <v>234</v>
      </c>
      <c r="S5" s="6" t="s">
        <v>235</v>
      </c>
      <c r="T5" s="6" t="s">
        <v>236</v>
      </c>
      <c r="U5" s="6" t="s">
        <v>237</v>
      </c>
    </row>
    <row r="6" customFormat="false" ht="64" hidden="false" customHeight="true" outlineLevel="0" collapsed="false">
      <c r="A6" s="7" t="s">
        <v>238</v>
      </c>
      <c r="B6" s="7" t="s">
        <v>239</v>
      </c>
      <c r="C6" s="7" t="s">
        <v>240</v>
      </c>
      <c r="D6" s="7" t="s">
        <v>241</v>
      </c>
      <c r="E6" s="7" t="s">
        <v>4</v>
      </c>
      <c r="F6" s="7" t="s">
        <v>242</v>
      </c>
      <c r="G6" s="8" t="n">
        <v>42395</v>
      </c>
      <c r="H6" s="7" t="s">
        <v>243</v>
      </c>
      <c r="I6" s="8" t="n">
        <v>45295</v>
      </c>
      <c r="J6" s="7" t="s">
        <v>244</v>
      </c>
      <c r="K6" s="7" t="s">
        <v>245</v>
      </c>
      <c r="L6" s="7" t="s">
        <v>246</v>
      </c>
      <c r="M6" s="7" t="s">
        <v>244</v>
      </c>
      <c r="N6" s="7" t="n">
        <v>1</v>
      </c>
      <c r="O6" s="7" t="n">
        <v>1</v>
      </c>
      <c r="P6" s="7" t="str">
        <f aca="false">HYPERLINK("https://www.cqc.org.uk/location/1-2375497294","https://www.cqc.org.uk/location/1-2375497294")</f>
        <v>https://www.cqc.org.uk/location/1-2375497294</v>
      </c>
      <c r="Q6" s="7"/>
      <c r="R6" s="8" t="n">
        <v>46266</v>
      </c>
      <c r="S6" s="8" t="n">
        <v>46267</v>
      </c>
      <c r="T6" s="8" t="n">
        <v>46273</v>
      </c>
      <c r="U6" s="7" t="n">
        <v>31339</v>
      </c>
    </row>
    <row r="7" customFormat="false" ht="64" hidden="false" customHeight="true" outlineLevel="0" collapsed="false">
      <c r="A7" s="9" t="s">
        <v>247</v>
      </c>
      <c r="B7" s="9" t="s">
        <v>248</v>
      </c>
      <c r="C7" s="9" t="s">
        <v>249</v>
      </c>
      <c r="D7" s="9" t="s">
        <v>250</v>
      </c>
      <c r="E7" s="9" t="s">
        <v>4</v>
      </c>
      <c r="F7" s="9" t="s">
        <v>251</v>
      </c>
      <c r="G7" s="10" t="n">
        <v>45469</v>
      </c>
      <c r="H7" s="9"/>
      <c r="I7" s="10"/>
      <c r="J7" s="9"/>
      <c r="K7" s="9" t="s">
        <v>252</v>
      </c>
      <c r="L7" s="9" t="s">
        <v>253</v>
      </c>
      <c r="M7" s="9" t="s">
        <v>254</v>
      </c>
      <c r="N7" s="9" t="n">
        <v>1</v>
      </c>
      <c r="O7" s="9" t="n">
        <v>1</v>
      </c>
      <c r="P7" s="9" t="str">
        <f aca="false">HYPERLINK("https://www.cqc.org.uk/location/1-19611241388","https://www.cqc.org.uk/location/1-19611241388")</f>
        <v>https://www.cqc.org.uk/location/1-19611241388</v>
      </c>
      <c r="Q7" s="9" t="s">
        <v>255</v>
      </c>
      <c r="R7" s="10" t="n">
        <v>46266</v>
      </c>
      <c r="S7" s="10" t="n">
        <v>46267</v>
      </c>
      <c r="T7" s="10" t="n">
        <v>46273</v>
      </c>
      <c r="U7" s="9" t="n">
        <v>22923</v>
      </c>
    </row>
    <row r="8" customFormat="false" ht="64" hidden="false" customHeight="true" outlineLevel="0" collapsed="false">
      <c r="A8" s="7" t="s">
        <v>256</v>
      </c>
      <c r="B8" s="7" t="s">
        <v>257</v>
      </c>
      <c r="C8" s="7" t="s">
        <v>257</v>
      </c>
      <c r="D8" s="7" t="s">
        <v>258</v>
      </c>
      <c r="E8" s="7" t="s">
        <v>4</v>
      </c>
      <c r="F8" s="7" t="s">
        <v>259</v>
      </c>
      <c r="G8" s="8" t="n">
        <v>42884</v>
      </c>
      <c r="H8" s="7" t="s">
        <v>260</v>
      </c>
      <c r="I8" s="8"/>
      <c r="J8" s="7" t="s">
        <v>244</v>
      </c>
      <c r="K8" s="7" t="s">
        <v>252</v>
      </c>
      <c r="L8" s="7" t="s">
        <v>261</v>
      </c>
      <c r="M8" s="7" t="s">
        <v>254</v>
      </c>
      <c r="N8" s="7" t="n">
        <v>1</v>
      </c>
      <c r="O8" s="7" t="n">
        <v>1</v>
      </c>
      <c r="P8" s="7" t="str">
        <f aca="false">HYPERLINK("https://www.cqc.org.uk/location/1-3844276590","https://www.cqc.org.uk/location/1-3844276590")</f>
        <v>https://www.cqc.org.uk/location/1-3844276590</v>
      </c>
      <c r="Q8" s="7" t="s">
        <v>262</v>
      </c>
      <c r="R8" s="8" t="n">
        <v>46266</v>
      </c>
      <c r="S8" s="8" t="n">
        <v>46267</v>
      </c>
      <c r="T8" s="8" t="n">
        <v>46273</v>
      </c>
      <c r="U8" s="7" t="n">
        <v>40423</v>
      </c>
    </row>
    <row r="9" customFormat="false" ht="64" hidden="false" customHeight="true" outlineLevel="0" collapsed="false">
      <c r="A9" s="9" t="s">
        <v>263</v>
      </c>
      <c r="B9" s="9" t="s">
        <v>264</v>
      </c>
      <c r="C9" s="9" t="s">
        <v>265</v>
      </c>
      <c r="D9" s="9" t="s">
        <v>266</v>
      </c>
      <c r="E9" s="9" t="s">
        <v>4</v>
      </c>
      <c r="F9" s="9" t="s">
        <v>267</v>
      </c>
      <c r="G9" s="10" t="n">
        <v>42331</v>
      </c>
      <c r="H9" s="9" t="s">
        <v>268</v>
      </c>
      <c r="I9" s="10" t="n">
        <v>43615</v>
      </c>
      <c r="J9" s="9" t="s">
        <v>244</v>
      </c>
      <c r="K9" s="9" t="s">
        <v>245</v>
      </c>
      <c r="L9" s="9" t="s">
        <v>269</v>
      </c>
      <c r="M9" s="9" t="s">
        <v>244</v>
      </c>
      <c r="N9" s="9" t="n">
        <v>1</v>
      </c>
      <c r="O9" s="9" t="n">
        <v>1</v>
      </c>
      <c r="P9" s="9" t="str">
        <f aca="false">HYPERLINK("https://www.cqc.org.uk/location/1-2304486315","https://www.cqc.org.uk/location/1-2304486315")</f>
        <v>https://www.cqc.org.uk/location/1-2304486315</v>
      </c>
      <c r="Q9" s="9" t="s">
        <v>270</v>
      </c>
      <c r="R9" s="10" t="n">
        <v>46266</v>
      </c>
      <c r="S9" s="10" t="n">
        <v>46267</v>
      </c>
      <c r="T9" s="10" t="n">
        <v>46273</v>
      </c>
      <c r="U9" s="9" t="n">
        <v>30320</v>
      </c>
    </row>
    <row r="10" customFormat="false" ht="64" hidden="false" customHeight="true" outlineLevel="0" collapsed="false">
      <c r="A10" s="7" t="s">
        <v>271</v>
      </c>
      <c r="B10" s="7" t="s">
        <v>272</v>
      </c>
      <c r="C10" s="7" t="s">
        <v>272</v>
      </c>
      <c r="D10" s="7" t="s">
        <v>273</v>
      </c>
      <c r="E10" s="7" t="s">
        <v>4</v>
      </c>
      <c r="F10" s="7" t="s">
        <v>274</v>
      </c>
      <c r="G10" s="8" t="n">
        <v>45051</v>
      </c>
      <c r="H10" s="7"/>
      <c r="I10" s="8"/>
      <c r="J10" s="7"/>
      <c r="K10" s="7" t="s">
        <v>252</v>
      </c>
      <c r="L10" s="7" t="s">
        <v>269</v>
      </c>
      <c r="M10" s="7" t="s">
        <v>254</v>
      </c>
      <c r="N10" s="7" t="n">
        <v>1</v>
      </c>
      <c r="O10" s="7" t="n">
        <v>1</v>
      </c>
      <c r="P10" s="7" t="str">
        <f aca="false">HYPERLINK("https://www.cqc.org.uk/location/1-15469636349","https://www.cqc.org.uk/location/1-15469636349")</f>
        <v>https://www.cqc.org.uk/location/1-15469636349</v>
      </c>
      <c r="Q10" s="7"/>
      <c r="R10" s="8" t="n">
        <v>46266</v>
      </c>
      <c r="S10" s="8" t="n">
        <v>46267</v>
      </c>
      <c r="T10" s="8" t="n">
        <v>46273</v>
      </c>
      <c r="U10" s="7" t="n">
        <v>16142</v>
      </c>
    </row>
    <row r="11" customFormat="false" ht="64" hidden="false" customHeight="true" outlineLevel="0" collapsed="false">
      <c r="A11" s="9" t="s">
        <v>275</v>
      </c>
      <c r="B11" s="9" t="s">
        <v>276</v>
      </c>
      <c r="C11" s="9" t="s">
        <v>277</v>
      </c>
      <c r="D11" s="9" t="s">
        <v>278</v>
      </c>
      <c r="E11" s="9" t="s">
        <v>4</v>
      </c>
      <c r="F11" s="9" t="s">
        <v>279</v>
      </c>
      <c r="G11" s="10" t="n">
        <v>45582</v>
      </c>
      <c r="H11" s="9"/>
      <c r="I11" s="10"/>
      <c r="J11" s="9"/>
      <c r="K11" s="9" t="s">
        <v>252</v>
      </c>
      <c r="L11" s="9" t="s">
        <v>280</v>
      </c>
      <c r="M11" s="9" t="s">
        <v>254</v>
      </c>
      <c r="N11" s="9" t="n">
        <v>1</v>
      </c>
      <c r="O11" s="9" t="n">
        <v>1</v>
      </c>
      <c r="P11" s="9" t="str">
        <f aca="false">HYPERLINK("https://www.cqc.org.uk/location/1-19897989282","https://www.cqc.org.uk/location/1-19897989282")</f>
        <v>https://www.cqc.org.uk/location/1-19897989282</v>
      </c>
      <c r="Q11" s="9"/>
      <c r="R11" s="10" t="n">
        <v>46266</v>
      </c>
      <c r="S11" s="10" t="n">
        <v>46267</v>
      </c>
      <c r="T11" s="10" t="n">
        <v>46273</v>
      </c>
      <c r="U11" s="9" t="n">
        <v>24669</v>
      </c>
    </row>
    <row r="12" customFormat="false" ht="64" hidden="false" customHeight="true" outlineLevel="0" collapsed="false">
      <c r="A12" s="7" t="s">
        <v>281</v>
      </c>
      <c r="B12" s="7" t="s">
        <v>282</v>
      </c>
      <c r="C12" s="7" t="s">
        <v>282</v>
      </c>
      <c r="D12" s="7" t="s">
        <v>283</v>
      </c>
      <c r="E12" s="7" t="s">
        <v>4</v>
      </c>
      <c r="F12" s="7" t="s">
        <v>284</v>
      </c>
      <c r="G12" s="8" t="n">
        <v>44909</v>
      </c>
      <c r="H12" s="7"/>
      <c r="I12" s="8"/>
      <c r="J12" s="7"/>
      <c r="K12" s="7" t="s">
        <v>245</v>
      </c>
      <c r="L12" s="7" t="s">
        <v>269</v>
      </c>
      <c r="M12" s="7" t="s">
        <v>244</v>
      </c>
      <c r="N12" s="7" t="n">
        <v>1</v>
      </c>
      <c r="O12" s="7" t="n">
        <v>1</v>
      </c>
      <c r="P12" s="7" t="str">
        <f aca="false">HYPERLINK("https://www.cqc.org.uk/location/1-14572350995","https://www.cqc.org.uk/location/1-14572350995")</f>
        <v>https://www.cqc.org.uk/location/1-14572350995</v>
      </c>
      <c r="Q12" s="7"/>
      <c r="R12" s="8" t="n">
        <v>46266</v>
      </c>
      <c r="S12" s="8" t="n">
        <v>46267</v>
      </c>
      <c r="T12" s="8" t="n">
        <v>46273</v>
      </c>
      <c r="U12" s="7" t="n">
        <v>14332</v>
      </c>
    </row>
    <row r="13" customFormat="false" ht="64" hidden="false" customHeight="true" outlineLevel="0" collapsed="false">
      <c r="A13" s="9" t="s">
        <v>285</v>
      </c>
      <c r="B13" s="9" t="s">
        <v>286</v>
      </c>
      <c r="C13" s="9" t="s">
        <v>286</v>
      </c>
      <c r="D13" s="9" t="s">
        <v>287</v>
      </c>
      <c r="E13" s="9" t="s">
        <v>4</v>
      </c>
      <c r="F13" s="9" t="s">
        <v>288</v>
      </c>
      <c r="G13" s="10" t="n">
        <v>45243</v>
      </c>
      <c r="H13" s="9"/>
      <c r="I13" s="10"/>
      <c r="J13" s="9"/>
      <c r="K13" s="9" t="s">
        <v>245</v>
      </c>
      <c r="L13" s="9" t="s">
        <v>289</v>
      </c>
      <c r="M13" s="9" t="s">
        <v>244</v>
      </c>
      <c r="N13" s="9" t="n">
        <v>1</v>
      </c>
      <c r="O13" s="9" t="n">
        <v>1</v>
      </c>
      <c r="P13" s="9" t="str">
        <f aca="false">HYPERLINK("https://www.cqc.org.uk/location/1-18066555573","https://www.cqc.org.uk/location/1-18066555573")</f>
        <v>https://www.cqc.org.uk/location/1-18066555573</v>
      </c>
      <c r="Q13" s="9" t="s">
        <v>290</v>
      </c>
      <c r="R13" s="10" t="n">
        <v>46266</v>
      </c>
      <c r="S13" s="10" t="n">
        <v>46267</v>
      </c>
      <c r="T13" s="10" t="n">
        <v>46273</v>
      </c>
      <c r="U13" s="9" t="n">
        <v>19298</v>
      </c>
    </row>
    <row r="14" customFormat="false" ht="64" hidden="false" customHeight="true" outlineLevel="0" collapsed="false">
      <c r="A14" s="7" t="s">
        <v>291</v>
      </c>
      <c r="B14" s="7" t="s">
        <v>292</v>
      </c>
      <c r="C14" s="7" t="s">
        <v>292</v>
      </c>
      <c r="D14" s="7" t="s">
        <v>293</v>
      </c>
      <c r="E14" s="7" t="s">
        <v>4</v>
      </c>
      <c r="F14" s="7" t="s">
        <v>294</v>
      </c>
      <c r="G14" s="8" t="n">
        <v>45252</v>
      </c>
      <c r="H14" s="7"/>
      <c r="I14" s="8"/>
      <c r="J14" s="7"/>
      <c r="K14" s="7" t="s">
        <v>252</v>
      </c>
      <c r="L14" s="7" t="s">
        <v>295</v>
      </c>
      <c r="M14" s="7" t="s">
        <v>254</v>
      </c>
      <c r="N14" s="7" t="n">
        <v>1</v>
      </c>
      <c r="O14" s="7" t="n">
        <v>1</v>
      </c>
      <c r="P14" s="7" t="str">
        <f aca="false">HYPERLINK("https://www.cqc.org.uk/location/1-17885055200","https://www.cqc.org.uk/location/1-17885055200")</f>
        <v>https://www.cqc.org.uk/location/1-17885055200</v>
      </c>
      <c r="Q14" s="7" t="s">
        <v>296</v>
      </c>
      <c r="R14" s="8" t="n">
        <v>46266</v>
      </c>
      <c r="S14" s="8" t="n">
        <v>46267</v>
      </c>
      <c r="T14" s="8" t="n">
        <v>46273</v>
      </c>
      <c r="U14" s="7" t="n">
        <v>19000</v>
      </c>
    </row>
    <row r="15" customFormat="false" ht="64" hidden="false" customHeight="true" outlineLevel="0" collapsed="false">
      <c r="A15" s="9" t="s">
        <v>297</v>
      </c>
      <c r="B15" s="9" t="s">
        <v>298</v>
      </c>
      <c r="C15" s="9" t="s">
        <v>299</v>
      </c>
      <c r="D15" s="9" t="s">
        <v>300</v>
      </c>
      <c r="E15" s="9" t="s">
        <v>4</v>
      </c>
      <c r="F15" s="9" t="s">
        <v>301</v>
      </c>
      <c r="G15" s="10" t="n">
        <v>45068</v>
      </c>
      <c r="H15" s="9"/>
      <c r="I15" s="10"/>
      <c r="J15" s="9"/>
      <c r="K15" s="9" t="s">
        <v>245</v>
      </c>
      <c r="L15" s="9" t="s">
        <v>302</v>
      </c>
      <c r="M15" s="9" t="s">
        <v>244</v>
      </c>
      <c r="N15" s="9" t="n">
        <v>1</v>
      </c>
      <c r="O15" s="9" t="n">
        <v>1</v>
      </c>
      <c r="P15" s="9" t="str">
        <f aca="false">HYPERLINK("https://www.cqc.org.uk/location/1-15912518434","https://www.cqc.org.uk/location/1-15912518434")</f>
        <v>https://www.cqc.org.uk/location/1-15912518434</v>
      </c>
      <c r="Q15" s="9"/>
      <c r="R15" s="10" t="n">
        <v>46266</v>
      </c>
      <c r="S15" s="10" t="n">
        <v>46267</v>
      </c>
      <c r="T15" s="10" t="n">
        <v>46273</v>
      </c>
      <c r="U15" s="9" t="n">
        <v>16731</v>
      </c>
    </row>
    <row r="16" customFormat="false" ht="64" hidden="false" customHeight="true" outlineLevel="0" collapsed="false">
      <c r="A16" s="7" t="s">
        <v>303</v>
      </c>
      <c r="B16" s="7" t="s">
        <v>304</v>
      </c>
      <c r="C16" s="7" t="s">
        <v>305</v>
      </c>
      <c r="D16" s="7" t="s">
        <v>306</v>
      </c>
      <c r="E16" s="7" t="s">
        <v>4</v>
      </c>
      <c r="F16" s="7" t="s">
        <v>307</v>
      </c>
      <c r="G16" s="8" t="n">
        <v>44650</v>
      </c>
      <c r="H16" s="7"/>
      <c r="I16" s="8"/>
      <c r="J16" s="7"/>
      <c r="K16" s="7" t="s">
        <v>252</v>
      </c>
      <c r="L16" s="7" t="s">
        <v>308</v>
      </c>
      <c r="M16" s="7" t="s">
        <v>254</v>
      </c>
      <c r="N16" s="7" t="n">
        <v>1</v>
      </c>
      <c r="O16" s="7" t="n">
        <v>1</v>
      </c>
      <c r="P16" s="7" t="str">
        <f aca="false">HYPERLINK("https://www.cqc.org.uk/location/1-12478667909","https://www.cqc.org.uk/location/1-12478667909")</f>
        <v>https://www.cqc.org.uk/location/1-12478667909</v>
      </c>
      <c r="Q16" s="7" t="s">
        <v>309</v>
      </c>
      <c r="R16" s="8" t="n">
        <v>46266</v>
      </c>
      <c r="S16" s="8" t="n">
        <v>46267</v>
      </c>
      <c r="T16" s="8" t="n">
        <v>46273</v>
      </c>
      <c r="U16" s="7" t="n">
        <v>7883</v>
      </c>
    </row>
    <row r="17" customFormat="false" ht="64" hidden="false" customHeight="true" outlineLevel="0" collapsed="false">
      <c r="A17" s="9" t="s">
        <v>310</v>
      </c>
      <c r="B17" s="9" t="s">
        <v>311</v>
      </c>
      <c r="C17" s="9" t="s">
        <v>312</v>
      </c>
      <c r="D17" s="9" t="s">
        <v>313</v>
      </c>
      <c r="E17" s="9" t="s">
        <v>4</v>
      </c>
      <c r="F17" s="9" t="s">
        <v>314</v>
      </c>
      <c r="G17" s="10" t="n">
        <v>43543</v>
      </c>
      <c r="H17" s="9"/>
      <c r="I17" s="10"/>
      <c r="J17" s="9"/>
      <c r="K17" s="9" t="s">
        <v>252</v>
      </c>
      <c r="L17" s="9" t="s">
        <v>315</v>
      </c>
      <c r="M17" s="9" t="s">
        <v>254</v>
      </c>
      <c r="N17" s="9" t="n">
        <v>1</v>
      </c>
      <c r="O17" s="9" t="n">
        <v>1</v>
      </c>
      <c r="P17" s="9" t="str">
        <f aca="false">HYPERLINK("https://www.cqc.org.uk/location/1-6050171556","https://www.cqc.org.uk/location/1-6050171556")</f>
        <v>https://www.cqc.org.uk/location/1-6050171556</v>
      </c>
      <c r="Q17" s="9"/>
      <c r="R17" s="10" t="n">
        <v>46266</v>
      </c>
      <c r="S17" s="10" t="n">
        <v>46267</v>
      </c>
      <c r="T17" s="10" t="n">
        <v>46273</v>
      </c>
      <c r="U17" s="9" t="n">
        <v>49208</v>
      </c>
    </row>
    <row r="18" customFormat="false" ht="64" hidden="false" customHeight="true" outlineLevel="0" collapsed="false">
      <c r="A18" s="7" t="s">
        <v>316</v>
      </c>
      <c r="B18" s="7" t="s">
        <v>317</v>
      </c>
      <c r="C18" s="7" t="s">
        <v>317</v>
      </c>
      <c r="D18" s="7" t="s">
        <v>318</v>
      </c>
      <c r="E18" s="7" t="s">
        <v>4</v>
      </c>
      <c r="F18" s="7" t="s">
        <v>319</v>
      </c>
      <c r="G18" s="8" t="n">
        <v>44133</v>
      </c>
      <c r="H18" s="7" t="s">
        <v>268</v>
      </c>
      <c r="I18" s="8" t="n">
        <v>44734</v>
      </c>
      <c r="J18" s="7" t="s">
        <v>244</v>
      </c>
      <c r="K18" s="7" t="s">
        <v>252</v>
      </c>
      <c r="L18" s="7" t="s">
        <v>320</v>
      </c>
      <c r="M18" s="7" t="s">
        <v>254</v>
      </c>
      <c r="N18" s="7" t="n">
        <v>1</v>
      </c>
      <c r="O18" s="7" t="n">
        <v>1</v>
      </c>
      <c r="P18" s="7" t="str">
        <f aca="false">HYPERLINK("https://www.cqc.org.uk/location/1-9786827865","https://www.cqc.org.uk/location/1-9786827865")</f>
        <v>https://www.cqc.org.uk/location/1-9786827865</v>
      </c>
      <c r="Q18" s="7"/>
      <c r="R18" s="8" t="n">
        <v>46266</v>
      </c>
      <c r="S18" s="8" t="n">
        <v>46267</v>
      </c>
      <c r="T18" s="8" t="n">
        <v>46273</v>
      </c>
      <c r="U18" s="7" t="n">
        <v>54982</v>
      </c>
    </row>
    <row r="19" customFormat="false" ht="64" hidden="false" customHeight="true" outlineLevel="0" collapsed="false">
      <c r="A19" s="9" t="s">
        <v>321</v>
      </c>
      <c r="B19" s="9" t="s">
        <v>322</v>
      </c>
      <c r="C19" s="9" t="s">
        <v>322</v>
      </c>
      <c r="D19" s="9" t="s">
        <v>323</v>
      </c>
      <c r="E19" s="9" t="s">
        <v>4</v>
      </c>
      <c r="F19" s="9" t="s">
        <v>324</v>
      </c>
      <c r="G19" s="10" t="n">
        <v>44799</v>
      </c>
      <c r="H19" s="9"/>
      <c r="I19" s="10"/>
      <c r="J19" s="9"/>
      <c r="K19" s="9" t="s">
        <v>252</v>
      </c>
      <c r="L19" s="9" t="s">
        <v>325</v>
      </c>
      <c r="M19" s="9" t="s">
        <v>254</v>
      </c>
      <c r="N19" s="9" t="n">
        <v>1</v>
      </c>
      <c r="O19" s="9" t="n">
        <v>1</v>
      </c>
      <c r="P19" s="9" t="str">
        <f aca="false">HYPERLINK("https://www.cqc.org.uk/location/1-13834761529","https://www.cqc.org.uk/location/1-13834761529")</f>
        <v>https://www.cqc.org.uk/location/1-13834761529</v>
      </c>
      <c r="Q19" s="9" t="s">
        <v>326</v>
      </c>
      <c r="R19" s="10" t="n">
        <v>46266</v>
      </c>
      <c r="S19" s="10" t="n">
        <v>46267</v>
      </c>
      <c r="T19" s="10" t="n">
        <v>46273</v>
      </c>
      <c r="U19" s="9" t="n">
        <v>12583</v>
      </c>
    </row>
    <row r="20" customFormat="false" ht="64" hidden="false" customHeight="true" outlineLevel="0" collapsed="false">
      <c r="A20" s="7" t="s">
        <v>327</v>
      </c>
      <c r="B20" s="7" t="s">
        <v>328</v>
      </c>
      <c r="C20" s="7" t="s">
        <v>328</v>
      </c>
      <c r="D20" s="7" t="s">
        <v>329</v>
      </c>
      <c r="E20" s="7" t="s">
        <v>4</v>
      </c>
      <c r="F20" s="7" t="s">
        <v>330</v>
      </c>
      <c r="G20" s="8" t="n">
        <v>40743</v>
      </c>
      <c r="H20" s="7" t="s">
        <v>268</v>
      </c>
      <c r="I20" s="8" t="n">
        <v>43718</v>
      </c>
      <c r="J20" s="7" t="s">
        <v>244</v>
      </c>
      <c r="K20" s="7" t="s">
        <v>252</v>
      </c>
      <c r="L20" s="7" t="s">
        <v>331</v>
      </c>
      <c r="M20" s="7" t="s">
        <v>254</v>
      </c>
      <c r="N20" s="7" t="n">
        <v>1</v>
      </c>
      <c r="O20" s="7" t="n">
        <v>1</v>
      </c>
      <c r="P20" s="7" t="str">
        <f aca="false">HYPERLINK("https://www.cqc.org.uk/location/1-255642538","https://www.cqc.org.uk/location/1-255642538")</f>
        <v>https://www.cqc.org.uk/location/1-255642538</v>
      </c>
      <c r="Q20" s="7" t="s">
        <v>332</v>
      </c>
      <c r="R20" s="8" t="n">
        <v>46266</v>
      </c>
      <c r="S20" s="8" t="n">
        <v>46267</v>
      </c>
      <c r="T20" s="8" t="n">
        <v>46273</v>
      </c>
      <c r="U20" s="7" t="n">
        <v>33636</v>
      </c>
    </row>
    <row r="21" customFormat="false" ht="64" hidden="false" customHeight="true" outlineLevel="0" collapsed="false">
      <c r="A21" s="9" t="s">
        <v>333</v>
      </c>
      <c r="B21" s="9" t="s">
        <v>334</v>
      </c>
      <c r="C21" s="9" t="s">
        <v>335</v>
      </c>
      <c r="D21" s="9" t="s">
        <v>336</v>
      </c>
      <c r="E21" s="9" t="s">
        <v>4</v>
      </c>
      <c r="F21" s="9" t="s">
        <v>337</v>
      </c>
      <c r="G21" s="10" t="n">
        <v>42248</v>
      </c>
      <c r="H21" s="9" t="s">
        <v>268</v>
      </c>
      <c r="I21" s="10" t="n">
        <v>43888</v>
      </c>
      <c r="J21" s="9" t="s">
        <v>244</v>
      </c>
      <c r="K21" s="9" t="s">
        <v>245</v>
      </c>
      <c r="L21" s="9" t="s">
        <v>289</v>
      </c>
      <c r="M21" s="9" t="s">
        <v>244</v>
      </c>
      <c r="N21" s="9" t="n">
        <v>1</v>
      </c>
      <c r="O21" s="9" t="n">
        <v>1</v>
      </c>
      <c r="P21" s="9" t="str">
        <f aca="false">HYPERLINK("https://www.cqc.org.uk/location/1-2197499156","https://www.cqc.org.uk/location/1-2197499156")</f>
        <v>https://www.cqc.org.uk/location/1-2197499156</v>
      </c>
      <c r="Q21" s="9"/>
      <c r="R21" s="10" t="n">
        <v>46266</v>
      </c>
      <c r="S21" s="10" t="n">
        <v>46267</v>
      </c>
      <c r="T21" s="10" t="n">
        <v>46273</v>
      </c>
      <c r="U21" s="9" t="n">
        <v>28384</v>
      </c>
    </row>
    <row r="22" customFormat="false" ht="64" hidden="false" customHeight="true" outlineLevel="0" collapsed="false">
      <c r="A22" s="7" t="s">
        <v>173</v>
      </c>
      <c r="B22" s="7" t="s">
        <v>168</v>
      </c>
      <c r="C22" s="7" t="s">
        <v>168</v>
      </c>
      <c r="D22" s="7" t="s">
        <v>172</v>
      </c>
      <c r="E22" s="7" t="s">
        <v>4</v>
      </c>
      <c r="F22" s="7" t="s">
        <v>307</v>
      </c>
      <c r="G22" s="8" t="n">
        <v>46112</v>
      </c>
      <c r="H22" s="7"/>
      <c r="I22" s="8"/>
      <c r="J22" s="7"/>
      <c r="K22" s="7" t="s">
        <v>245</v>
      </c>
      <c r="L22" s="7" t="s">
        <v>338</v>
      </c>
      <c r="M22" s="7" t="s">
        <v>244</v>
      </c>
      <c r="N22" s="7" t="n">
        <v>1</v>
      </c>
      <c r="O22" s="7" t="n">
        <v>1</v>
      </c>
      <c r="P22" s="7" t="str">
        <f aca="false">HYPERLINK("https://www.cqc.org.uk/location/1-27481819229","https://www.cqc.org.uk/location/1-27481819229")</f>
        <v>https://www.cqc.org.uk/location/1-27481819229</v>
      </c>
      <c r="Q22" s="7" t="s">
        <v>339</v>
      </c>
      <c r="R22" s="8" t="n">
        <v>46266</v>
      </c>
      <c r="S22" s="8" t="n">
        <v>46267</v>
      </c>
      <c r="T22" s="8" t="n">
        <v>46273</v>
      </c>
      <c r="U22" s="7" t="n">
        <v>36027</v>
      </c>
    </row>
    <row r="23" customFormat="false" ht="64" hidden="false" customHeight="true" outlineLevel="0" collapsed="false">
      <c r="A23" s="9" t="s">
        <v>340</v>
      </c>
      <c r="B23" s="9" t="s">
        <v>341</v>
      </c>
      <c r="C23" s="9" t="s">
        <v>341</v>
      </c>
      <c r="D23" s="9" t="s">
        <v>342</v>
      </c>
      <c r="E23" s="9" t="s">
        <v>4</v>
      </c>
      <c r="F23" s="9" t="s">
        <v>343</v>
      </c>
      <c r="G23" s="10" t="n">
        <v>40555</v>
      </c>
      <c r="H23" s="9" t="s">
        <v>268</v>
      </c>
      <c r="I23" s="10" t="n">
        <v>45269</v>
      </c>
      <c r="J23" s="9" t="s">
        <v>244</v>
      </c>
      <c r="K23" s="9" t="s">
        <v>245</v>
      </c>
      <c r="L23" s="9" t="s">
        <v>344</v>
      </c>
      <c r="M23" s="9" t="s">
        <v>244</v>
      </c>
      <c r="N23" s="9" t="n">
        <v>1</v>
      </c>
      <c r="O23" s="9" t="n">
        <v>1</v>
      </c>
      <c r="P23" s="9" t="str">
        <f aca="false">HYPERLINK("https://www.cqc.org.uk/location/1-117409276","https://www.cqc.org.uk/location/1-117409276")</f>
        <v>https://www.cqc.org.uk/location/1-117409276</v>
      </c>
      <c r="Q23" s="9" t="s">
        <v>345</v>
      </c>
      <c r="R23" s="10" t="n">
        <v>46266</v>
      </c>
      <c r="S23" s="10" t="n">
        <v>46267</v>
      </c>
      <c r="T23" s="10" t="n">
        <v>46273</v>
      </c>
      <c r="U23" s="9" t="n">
        <v>4373</v>
      </c>
    </row>
    <row r="24" customFormat="false" ht="64" hidden="false" customHeight="true" outlineLevel="0" collapsed="false">
      <c r="A24" s="7" t="s">
        <v>346</v>
      </c>
      <c r="B24" s="7" t="s">
        <v>347</v>
      </c>
      <c r="C24" s="7" t="s">
        <v>348</v>
      </c>
      <c r="D24" s="7" t="s">
        <v>349</v>
      </c>
      <c r="E24" s="7" t="s">
        <v>4</v>
      </c>
      <c r="F24" s="7" t="s">
        <v>350</v>
      </c>
      <c r="G24" s="8" t="n">
        <v>40555</v>
      </c>
      <c r="H24" s="7" t="s">
        <v>260</v>
      </c>
      <c r="I24" s="8"/>
      <c r="J24" s="7" t="s">
        <v>244</v>
      </c>
      <c r="K24" s="7" t="s">
        <v>252</v>
      </c>
      <c r="L24" s="7" t="s">
        <v>351</v>
      </c>
      <c r="M24" s="7" t="s">
        <v>254</v>
      </c>
      <c r="N24" s="7" t="n">
        <v>1</v>
      </c>
      <c r="O24" s="7" t="n">
        <v>1</v>
      </c>
      <c r="P24" s="7" t="str">
        <f aca="false">HYPERLINK("https://www.cqc.org.uk/location/1-126005236","https://www.cqc.org.uk/location/1-126005236")</f>
        <v>https://www.cqc.org.uk/location/1-126005236</v>
      </c>
      <c r="Q24" s="7"/>
      <c r="R24" s="8" t="n">
        <v>46266</v>
      </c>
      <c r="S24" s="8" t="n">
        <v>46267</v>
      </c>
      <c r="T24" s="8" t="n">
        <v>46273</v>
      </c>
      <c r="U24" s="7" t="n">
        <v>8449</v>
      </c>
    </row>
    <row r="25" customFormat="false" ht="64" hidden="false" customHeight="true" outlineLevel="0" collapsed="false">
      <c r="A25" s="9" t="s">
        <v>352</v>
      </c>
      <c r="B25" s="9" t="s">
        <v>353</v>
      </c>
      <c r="C25" s="9" t="s">
        <v>354</v>
      </c>
      <c r="D25" s="9" t="s">
        <v>355</v>
      </c>
      <c r="E25" s="9" t="s">
        <v>4</v>
      </c>
      <c r="F25" s="9" t="s">
        <v>356</v>
      </c>
      <c r="G25" s="10" t="n">
        <v>44648</v>
      </c>
      <c r="H25" s="9"/>
      <c r="I25" s="10"/>
      <c r="J25" s="9"/>
      <c r="K25" s="9" t="s">
        <v>245</v>
      </c>
      <c r="L25" s="9" t="s">
        <v>357</v>
      </c>
      <c r="M25" s="9" t="s">
        <v>244</v>
      </c>
      <c r="N25" s="9" t="n">
        <v>1</v>
      </c>
      <c r="O25" s="9" t="n">
        <v>1</v>
      </c>
      <c r="P25" s="9" t="str">
        <f aca="false">HYPERLINK("https://www.cqc.org.uk/location/1-12851853221","https://www.cqc.org.uk/location/1-12851853221")</f>
        <v>https://www.cqc.org.uk/location/1-12851853221</v>
      </c>
      <c r="Q25" s="9" t="s">
        <v>358</v>
      </c>
      <c r="R25" s="10" t="n">
        <v>46266</v>
      </c>
      <c r="S25" s="10" t="n">
        <v>46267</v>
      </c>
      <c r="T25" s="10" t="n">
        <v>46273</v>
      </c>
      <c r="U25" s="9" t="n">
        <v>9436</v>
      </c>
    </row>
    <row r="26" customFormat="false" ht="64" hidden="false" customHeight="true" outlineLevel="0" collapsed="false">
      <c r="A26" s="7" t="s">
        <v>359</v>
      </c>
      <c r="B26" s="7" t="s">
        <v>360</v>
      </c>
      <c r="C26" s="7" t="s">
        <v>361</v>
      </c>
      <c r="D26" s="7" t="s">
        <v>362</v>
      </c>
      <c r="E26" s="7" t="s">
        <v>4</v>
      </c>
      <c r="F26" s="7" t="s">
        <v>363</v>
      </c>
      <c r="G26" s="8" t="n">
        <v>42726</v>
      </c>
      <c r="H26" s="7" t="s">
        <v>268</v>
      </c>
      <c r="I26" s="8" t="n">
        <v>44359</v>
      </c>
      <c r="J26" s="7" t="s">
        <v>244</v>
      </c>
      <c r="K26" s="7" t="s">
        <v>252</v>
      </c>
      <c r="L26" s="7" t="s">
        <v>364</v>
      </c>
      <c r="M26" s="7" t="s">
        <v>254</v>
      </c>
      <c r="N26" s="7" t="n">
        <v>1</v>
      </c>
      <c r="O26" s="7" t="n">
        <v>1</v>
      </c>
      <c r="P26" s="7" t="str">
        <f aca="false">HYPERLINK("https://www.cqc.org.uk/location/1-3005993441","https://www.cqc.org.uk/location/1-3005993441")</f>
        <v>https://www.cqc.org.uk/location/1-3005993441</v>
      </c>
      <c r="Q26" s="7"/>
      <c r="R26" s="8" t="n">
        <v>46266</v>
      </c>
      <c r="S26" s="8" t="n">
        <v>46267</v>
      </c>
      <c r="T26" s="8" t="n">
        <v>46273</v>
      </c>
      <c r="U26" s="7" t="n">
        <v>38270</v>
      </c>
    </row>
    <row r="27" customFormat="false" ht="64" hidden="false" customHeight="true" outlineLevel="0" collapsed="false">
      <c r="A27" s="9" t="s">
        <v>365</v>
      </c>
      <c r="B27" s="9" t="s">
        <v>366</v>
      </c>
      <c r="C27" s="9" t="s">
        <v>366</v>
      </c>
      <c r="D27" s="9" t="s">
        <v>367</v>
      </c>
      <c r="E27" s="9" t="s">
        <v>4</v>
      </c>
      <c r="F27" s="9" t="s">
        <v>368</v>
      </c>
      <c r="G27" s="10" t="n">
        <v>44475</v>
      </c>
      <c r="H27" s="9" t="s">
        <v>243</v>
      </c>
      <c r="I27" s="10" t="n">
        <v>44979</v>
      </c>
      <c r="J27" s="9" t="s">
        <v>244</v>
      </c>
      <c r="K27" s="9" t="s">
        <v>252</v>
      </c>
      <c r="L27" s="9" t="s">
        <v>369</v>
      </c>
      <c r="M27" s="9" t="s">
        <v>254</v>
      </c>
      <c r="N27" s="9" t="n">
        <v>1</v>
      </c>
      <c r="O27" s="9" t="n">
        <v>1</v>
      </c>
      <c r="P27" s="9" t="str">
        <f aca="false">HYPERLINK("https://www.cqc.org.uk/location/1-11773547995","https://www.cqc.org.uk/location/1-11773547995")</f>
        <v>https://www.cqc.org.uk/location/1-11773547995</v>
      </c>
      <c r="Q27" s="9" t="s">
        <v>370</v>
      </c>
      <c r="R27" s="10" t="n">
        <v>46266</v>
      </c>
      <c r="S27" s="10" t="n">
        <v>46267</v>
      </c>
      <c r="T27" s="10" t="n">
        <v>46273</v>
      </c>
      <c r="U27" s="9" t="n">
        <v>4508</v>
      </c>
    </row>
    <row r="28" customFormat="false" ht="64" hidden="false" customHeight="true" outlineLevel="0" collapsed="false">
      <c r="A28" s="7" t="s">
        <v>371</v>
      </c>
      <c r="B28" s="7" t="s">
        <v>102</v>
      </c>
      <c r="C28" s="7" t="s">
        <v>102</v>
      </c>
      <c r="D28" s="7" t="s">
        <v>106</v>
      </c>
      <c r="E28" s="7" t="s">
        <v>4</v>
      </c>
      <c r="F28" s="7" t="s">
        <v>372</v>
      </c>
      <c r="G28" s="8" t="n">
        <v>40507</v>
      </c>
      <c r="H28" s="7" t="s">
        <v>268</v>
      </c>
      <c r="I28" s="8" t="n">
        <v>43840</v>
      </c>
      <c r="J28" s="7" t="s">
        <v>244</v>
      </c>
      <c r="K28" s="7" t="s">
        <v>252</v>
      </c>
      <c r="L28" s="7" t="s">
        <v>344</v>
      </c>
      <c r="M28" s="7" t="s">
        <v>254</v>
      </c>
      <c r="N28" s="7" t="n">
        <v>3</v>
      </c>
      <c r="O28" s="7" t="n">
        <v>2</v>
      </c>
      <c r="P28" s="7" t="str">
        <f aca="false">HYPERLINK("https://www.cqc.org.uk/location/1-135012480","https://www.cqc.org.uk/location/1-135012480")</f>
        <v>https://www.cqc.org.uk/location/1-135012480</v>
      </c>
      <c r="Q28" s="7" t="s">
        <v>373</v>
      </c>
      <c r="R28" s="8" t="n">
        <v>46266</v>
      </c>
      <c r="S28" s="8" t="n">
        <v>46267</v>
      </c>
      <c r="T28" s="8" t="n">
        <v>46273</v>
      </c>
      <c r="U28" s="7" t="n">
        <v>11692</v>
      </c>
    </row>
    <row r="29" customFormat="false" ht="64" hidden="false" customHeight="true" outlineLevel="0" collapsed="false">
      <c r="A29" s="9" t="s">
        <v>374</v>
      </c>
      <c r="B29" s="9" t="s">
        <v>375</v>
      </c>
      <c r="C29" s="9" t="s">
        <v>376</v>
      </c>
      <c r="D29" s="9" t="s">
        <v>377</v>
      </c>
      <c r="E29" s="9" t="s">
        <v>4</v>
      </c>
      <c r="F29" s="9" t="s">
        <v>378</v>
      </c>
      <c r="G29" s="10" t="n">
        <v>44379</v>
      </c>
      <c r="H29" s="9" t="s">
        <v>243</v>
      </c>
      <c r="I29" s="10" t="n">
        <v>45262</v>
      </c>
      <c r="J29" s="9" t="s">
        <v>244</v>
      </c>
      <c r="K29" s="9" t="s">
        <v>252</v>
      </c>
      <c r="L29" s="9" t="s">
        <v>379</v>
      </c>
      <c r="M29" s="9" t="s">
        <v>254</v>
      </c>
      <c r="N29" s="9" t="n">
        <v>3</v>
      </c>
      <c r="O29" s="9" t="n">
        <v>1</v>
      </c>
      <c r="P29" s="9" t="str">
        <f aca="false">HYPERLINK("https://www.cqc.org.uk/location/1-11064506487","https://www.cqc.org.uk/location/1-11064506487")</f>
        <v>https://www.cqc.org.uk/location/1-11064506487</v>
      </c>
      <c r="Q29" s="9" t="s">
        <v>380</v>
      </c>
      <c r="R29" s="10" t="n">
        <v>46266</v>
      </c>
      <c r="S29" s="10" t="n">
        <v>46267</v>
      </c>
      <c r="T29" s="10" t="n">
        <v>46273</v>
      </c>
      <c r="U29" s="9" t="n">
        <v>2131</v>
      </c>
    </row>
    <row r="30" customFormat="false" ht="64" hidden="false" customHeight="true" outlineLevel="0" collapsed="false">
      <c r="A30" s="7" t="s">
        <v>381</v>
      </c>
      <c r="B30" s="7" t="s">
        <v>382</v>
      </c>
      <c r="C30" s="7" t="s">
        <v>383</v>
      </c>
      <c r="D30" s="7" t="s">
        <v>384</v>
      </c>
      <c r="E30" s="7" t="s">
        <v>4</v>
      </c>
      <c r="F30" s="7" t="s">
        <v>385</v>
      </c>
      <c r="G30" s="8" t="n">
        <v>42409</v>
      </c>
      <c r="H30" s="7" t="s">
        <v>268</v>
      </c>
      <c r="I30" s="8" t="n">
        <v>45038</v>
      </c>
      <c r="J30" s="7" t="s">
        <v>244</v>
      </c>
      <c r="K30" s="7" t="s">
        <v>245</v>
      </c>
      <c r="L30" s="7" t="s">
        <v>386</v>
      </c>
      <c r="M30" s="7" t="s">
        <v>244</v>
      </c>
      <c r="N30" s="7" t="n">
        <v>1</v>
      </c>
      <c r="O30" s="7" t="n">
        <v>1</v>
      </c>
      <c r="P30" s="7" t="str">
        <f aca="false">HYPERLINK("https://www.cqc.org.uk/location/1-2448863376","https://www.cqc.org.uk/location/1-2448863376")</f>
        <v>https://www.cqc.org.uk/location/1-2448863376</v>
      </c>
      <c r="Q30" s="7" t="s">
        <v>387</v>
      </c>
      <c r="R30" s="8" t="n">
        <v>46266</v>
      </c>
      <c r="S30" s="8" t="n">
        <v>46267</v>
      </c>
      <c r="T30" s="8" t="n">
        <v>46273</v>
      </c>
      <c r="U30" s="7" t="n">
        <v>32228</v>
      </c>
    </row>
    <row r="31" customFormat="false" ht="64" hidden="false" customHeight="true" outlineLevel="0" collapsed="false">
      <c r="A31" s="9" t="s">
        <v>388</v>
      </c>
      <c r="B31" s="9" t="s">
        <v>389</v>
      </c>
      <c r="C31" s="9" t="s">
        <v>390</v>
      </c>
      <c r="D31" s="9" t="s">
        <v>391</v>
      </c>
      <c r="E31" s="9" t="s">
        <v>4</v>
      </c>
      <c r="F31" s="9" t="s">
        <v>392</v>
      </c>
      <c r="G31" s="10" t="n">
        <v>45364</v>
      </c>
      <c r="H31" s="9"/>
      <c r="I31" s="10"/>
      <c r="J31" s="9"/>
      <c r="K31" s="9" t="s">
        <v>245</v>
      </c>
      <c r="L31" s="9" t="s">
        <v>269</v>
      </c>
      <c r="M31" s="9" t="s">
        <v>244</v>
      </c>
      <c r="N31" s="9" t="n">
        <v>1</v>
      </c>
      <c r="O31" s="9" t="n">
        <v>1</v>
      </c>
      <c r="P31" s="9" t="str">
        <f aca="false">HYPERLINK("https://www.cqc.org.uk/location/1-18936674240","https://www.cqc.org.uk/location/1-18936674240")</f>
        <v>https://www.cqc.org.uk/location/1-18936674240</v>
      </c>
      <c r="Q31" s="9" t="s">
        <v>393</v>
      </c>
      <c r="R31" s="10" t="n">
        <v>46266</v>
      </c>
      <c r="S31" s="10" t="n">
        <v>46267</v>
      </c>
      <c r="T31" s="10" t="n">
        <v>46273</v>
      </c>
      <c r="U31" s="9" t="n">
        <v>21109</v>
      </c>
    </row>
    <row r="32" customFormat="false" ht="64" hidden="false" customHeight="true" outlineLevel="0" collapsed="false">
      <c r="A32" s="7" t="s">
        <v>394</v>
      </c>
      <c r="B32" s="7" t="s">
        <v>395</v>
      </c>
      <c r="C32" s="7" t="s">
        <v>396</v>
      </c>
      <c r="D32" s="7" t="s">
        <v>397</v>
      </c>
      <c r="E32" s="7" t="s">
        <v>4</v>
      </c>
      <c r="F32" s="7" t="s">
        <v>398</v>
      </c>
      <c r="G32" s="8" t="n">
        <v>42986</v>
      </c>
      <c r="H32" s="7" t="s">
        <v>268</v>
      </c>
      <c r="I32" s="8" t="n">
        <v>43567</v>
      </c>
      <c r="J32" s="7" t="s">
        <v>244</v>
      </c>
      <c r="K32" s="7" t="s">
        <v>245</v>
      </c>
      <c r="L32" s="7" t="s">
        <v>269</v>
      </c>
      <c r="M32" s="7" t="s">
        <v>244</v>
      </c>
      <c r="N32" s="7" t="n">
        <v>16</v>
      </c>
      <c r="O32" s="7" t="n">
        <v>1</v>
      </c>
      <c r="P32" s="7" t="str">
        <f aca="false">HYPERLINK("https://www.cqc.org.uk/location/1-4262206830","https://www.cqc.org.uk/location/1-4262206830")</f>
        <v>https://www.cqc.org.uk/location/1-4262206830</v>
      </c>
      <c r="Q32" s="7" t="s">
        <v>399</v>
      </c>
      <c r="R32" s="8" t="n">
        <v>46266</v>
      </c>
      <c r="S32" s="8" t="n">
        <v>46267</v>
      </c>
      <c r="T32" s="8" t="n">
        <v>46273</v>
      </c>
      <c r="U32" s="7" t="n">
        <v>41498</v>
      </c>
    </row>
    <row r="33" customFormat="false" ht="64" hidden="false" customHeight="true" outlineLevel="0" collapsed="false">
      <c r="A33" s="9" t="s">
        <v>400</v>
      </c>
      <c r="B33" s="9" t="s">
        <v>401</v>
      </c>
      <c r="C33" s="9" t="s">
        <v>401</v>
      </c>
      <c r="D33" s="9" t="s">
        <v>402</v>
      </c>
      <c r="E33" s="9" t="s">
        <v>4</v>
      </c>
      <c r="F33" s="9" t="s">
        <v>403</v>
      </c>
      <c r="G33" s="10" t="n">
        <v>45442</v>
      </c>
      <c r="H33" s="9"/>
      <c r="I33" s="10"/>
      <c r="J33" s="9"/>
      <c r="K33" s="9" t="s">
        <v>252</v>
      </c>
      <c r="L33" s="9" t="s">
        <v>280</v>
      </c>
      <c r="M33" s="9" t="s">
        <v>254</v>
      </c>
      <c r="N33" s="9" t="n">
        <v>1</v>
      </c>
      <c r="O33" s="9" t="n">
        <v>1</v>
      </c>
      <c r="P33" s="9" t="str">
        <f aca="false">HYPERLINK("https://www.cqc.org.uk/location/1-19464572857","https://www.cqc.org.uk/location/1-19464572857")</f>
        <v>https://www.cqc.org.uk/location/1-19464572857</v>
      </c>
      <c r="Q33" s="9"/>
      <c r="R33" s="10" t="n">
        <v>46266</v>
      </c>
      <c r="S33" s="10" t="n">
        <v>46267</v>
      </c>
      <c r="T33" s="10" t="n">
        <v>46273</v>
      </c>
      <c r="U33" s="9" t="n">
        <v>22392</v>
      </c>
    </row>
    <row r="34" customFormat="false" ht="64" hidden="false" customHeight="true" outlineLevel="0" collapsed="false">
      <c r="A34" s="7" t="s">
        <v>191</v>
      </c>
      <c r="B34" s="7" t="s">
        <v>186</v>
      </c>
      <c r="C34" s="7" t="s">
        <v>186</v>
      </c>
      <c r="D34" s="7" t="s">
        <v>190</v>
      </c>
      <c r="E34" s="7" t="s">
        <v>4</v>
      </c>
      <c r="F34" s="7" t="s">
        <v>404</v>
      </c>
      <c r="G34" s="8" t="n">
        <v>46073</v>
      </c>
      <c r="H34" s="7"/>
      <c r="I34" s="8"/>
      <c r="J34" s="7"/>
      <c r="K34" s="7" t="s">
        <v>245</v>
      </c>
      <c r="L34" s="7" t="s">
        <v>405</v>
      </c>
      <c r="M34" s="7" t="s">
        <v>244</v>
      </c>
      <c r="N34" s="7" t="n">
        <v>1</v>
      </c>
      <c r="O34" s="7" t="n">
        <v>1</v>
      </c>
      <c r="P34" s="7" t="str">
        <f aca="false">HYPERLINK("https://www.cqc.org.uk/location/1-26963512859","https://www.cqc.org.uk/location/1-26963512859")</f>
        <v>https://www.cqc.org.uk/location/1-26963512859</v>
      </c>
      <c r="Q34" s="7" t="s">
        <v>406</v>
      </c>
      <c r="R34" s="8" t="n">
        <v>46266</v>
      </c>
      <c r="S34" s="8" t="n">
        <v>46267</v>
      </c>
      <c r="T34" s="8" t="n">
        <v>46273</v>
      </c>
      <c r="U34" s="7" t="n">
        <v>35441</v>
      </c>
    </row>
    <row r="35" customFormat="false" ht="64" hidden="false" customHeight="true" outlineLevel="0" collapsed="false">
      <c r="A35" s="9" t="s">
        <v>407</v>
      </c>
      <c r="B35" s="9" t="s">
        <v>408</v>
      </c>
      <c r="C35" s="9" t="s">
        <v>408</v>
      </c>
      <c r="D35" s="9" t="s">
        <v>409</v>
      </c>
      <c r="E35" s="9" t="s">
        <v>4</v>
      </c>
      <c r="F35" s="9" t="s">
        <v>410</v>
      </c>
      <c r="G35" s="10" t="n">
        <v>41563</v>
      </c>
      <c r="H35" s="9" t="s">
        <v>268</v>
      </c>
      <c r="I35" s="10" t="n">
        <v>43180</v>
      </c>
      <c r="J35" s="9" t="s">
        <v>244</v>
      </c>
      <c r="K35" s="9" t="s">
        <v>245</v>
      </c>
      <c r="L35" s="9" t="s">
        <v>386</v>
      </c>
      <c r="M35" s="9" t="s">
        <v>244</v>
      </c>
      <c r="N35" s="9" t="n">
        <v>1</v>
      </c>
      <c r="O35" s="9" t="n">
        <v>1</v>
      </c>
      <c r="P35" s="9" t="str">
        <f aca="false">HYPERLINK("https://www.cqc.org.uk/location/1-1011039037","https://www.cqc.org.uk/location/1-1011039037")</f>
        <v>https://www.cqc.org.uk/location/1-1011039037</v>
      </c>
      <c r="Q35" s="9" t="s">
        <v>411</v>
      </c>
      <c r="R35" s="10" t="n">
        <v>46266</v>
      </c>
      <c r="S35" s="10" t="n">
        <v>46267</v>
      </c>
      <c r="T35" s="10" t="n">
        <v>46273</v>
      </c>
      <c r="U35" s="9" t="n">
        <v>166</v>
      </c>
    </row>
    <row r="36" customFormat="false" ht="64" hidden="false" customHeight="true" outlineLevel="0" collapsed="false">
      <c r="A36" s="7" t="s">
        <v>412</v>
      </c>
      <c r="B36" s="7" t="s">
        <v>413</v>
      </c>
      <c r="C36" s="7" t="s">
        <v>413</v>
      </c>
      <c r="D36" s="7" t="s">
        <v>414</v>
      </c>
      <c r="E36" s="7" t="s">
        <v>4</v>
      </c>
      <c r="F36" s="7" t="s">
        <v>415</v>
      </c>
      <c r="G36" s="8" t="n">
        <v>43091</v>
      </c>
      <c r="H36" s="7" t="s">
        <v>268</v>
      </c>
      <c r="I36" s="8" t="n">
        <v>45121</v>
      </c>
      <c r="J36" s="7" t="s">
        <v>244</v>
      </c>
      <c r="K36" s="7" t="s">
        <v>252</v>
      </c>
      <c r="L36" s="7" t="s">
        <v>416</v>
      </c>
      <c r="M36" s="7" t="s">
        <v>254</v>
      </c>
      <c r="N36" s="7" t="n">
        <v>1</v>
      </c>
      <c r="O36" s="7" t="n">
        <v>1</v>
      </c>
      <c r="P36" s="7" t="str">
        <f aca="false">HYPERLINK("https://www.cqc.org.uk/location/1-4654998035","https://www.cqc.org.uk/location/1-4654998035")</f>
        <v>https://www.cqc.org.uk/location/1-4654998035</v>
      </c>
      <c r="Q36" s="7" t="s">
        <v>417</v>
      </c>
      <c r="R36" s="8" t="n">
        <v>46266</v>
      </c>
      <c r="S36" s="8" t="n">
        <v>46267</v>
      </c>
      <c r="T36" s="8" t="n">
        <v>46273</v>
      </c>
      <c r="U36" s="7" t="n">
        <v>42537</v>
      </c>
    </row>
    <row r="37" customFormat="false" ht="64" hidden="false" customHeight="true" outlineLevel="0" collapsed="false">
      <c r="A37" s="9" t="s">
        <v>418</v>
      </c>
      <c r="B37" s="9" t="s">
        <v>419</v>
      </c>
      <c r="C37" s="9" t="s">
        <v>420</v>
      </c>
      <c r="D37" s="9" t="s">
        <v>421</v>
      </c>
      <c r="E37" s="9" t="s">
        <v>4</v>
      </c>
      <c r="F37" s="9" t="s">
        <v>422</v>
      </c>
      <c r="G37" s="10" t="n">
        <v>42608</v>
      </c>
      <c r="H37" s="9" t="s">
        <v>268</v>
      </c>
      <c r="I37" s="10" t="n">
        <v>43480</v>
      </c>
      <c r="J37" s="9" t="s">
        <v>244</v>
      </c>
      <c r="K37" s="9" t="s">
        <v>252</v>
      </c>
      <c r="L37" s="9" t="s">
        <v>386</v>
      </c>
      <c r="M37" s="9" t="s">
        <v>254</v>
      </c>
      <c r="N37" s="9" t="n">
        <v>1</v>
      </c>
      <c r="O37" s="9" t="n">
        <v>1</v>
      </c>
      <c r="P37" s="9" t="str">
        <f aca="false">HYPERLINK("https://www.cqc.org.uk/location/1-2828593075","https://www.cqc.org.uk/location/1-2828593075")</f>
        <v>https://www.cqc.org.uk/location/1-2828593075</v>
      </c>
      <c r="Q37" s="9"/>
      <c r="R37" s="10" t="n">
        <v>46266</v>
      </c>
      <c r="S37" s="10" t="n">
        <v>46267</v>
      </c>
      <c r="T37" s="10" t="n">
        <v>46273</v>
      </c>
      <c r="U37" s="9" t="n">
        <v>36854</v>
      </c>
    </row>
    <row r="38" customFormat="false" ht="64" hidden="false" customHeight="true" outlineLevel="0" collapsed="false">
      <c r="A38" s="7" t="s">
        <v>423</v>
      </c>
      <c r="B38" s="7" t="s">
        <v>424</v>
      </c>
      <c r="C38" s="7" t="s">
        <v>424</v>
      </c>
      <c r="D38" s="7" t="s">
        <v>425</v>
      </c>
      <c r="E38" s="7" t="s">
        <v>4</v>
      </c>
      <c r="F38" s="7" t="s">
        <v>426</v>
      </c>
      <c r="G38" s="8" t="n">
        <v>44530</v>
      </c>
      <c r="H38" s="7" t="s">
        <v>268</v>
      </c>
      <c r="I38" s="8" t="n">
        <v>45091</v>
      </c>
      <c r="J38" s="7" t="s">
        <v>244</v>
      </c>
      <c r="K38" s="7" t="s">
        <v>252</v>
      </c>
      <c r="L38" s="7" t="s">
        <v>427</v>
      </c>
      <c r="M38" s="7" t="s">
        <v>254</v>
      </c>
      <c r="N38" s="7" t="n">
        <v>1</v>
      </c>
      <c r="O38" s="7" t="n">
        <v>1</v>
      </c>
      <c r="P38" s="7" t="str">
        <f aca="false">HYPERLINK("https://www.cqc.org.uk/location/1-12076992360","https://www.cqc.org.uk/location/1-12076992360")</f>
        <v>https://www.cqc.org.uk/location/1-12076992360</v>
      </c>
      <c r="Q38" s="7" t="s">
        <v>428</v>
      </c>
      <c r="R38" s="8" t="n">
        <v>46266</v>
      </c>
      <c r="S38" s="8" t="n">
        <v>46267</v>
      </c>
      <c r="T38" s="8" t="n">
        <v>46273</v>
      </c>
      <c r="U38" s="7" t="n">
        <v>6120</v>
      </c>
    </row>
    <row r="39" customFormat="false" ht="64" hidden="false" customHeight="true" outlineLevel="0" collapsed="false">
      <c r="A39" s="9" t="s">
        <v>429</v>
      </c>
      <c r="B39" s="9" t="s">
        <v>430</v>
      </c>
      <c r="C39" s="9" t="s">
        <v>431</v>
      </c>
      <c r="D39" s="9" t="s">
        <v>432</v>
      </c>
      <c r="E39" s="9" t="s">
        <v>4</v>
      </c>
      <c r="F39" s="9" t="s">
        <v>433</v>
      </c>
      <c r="G39" s="10" t="n">
        <v>45168</v>
      </c>
      <c r="H39" s="9"/>
      <c r="I39" s="10"/>
      <c r="J39" s="9"/>
      <c r="K39" s="9" t="s">
        <v>252</v>
      </c>
      <c r="L39" s="9" t="s">
        <v>434</v>
      </c>
      <c r="M39" s="9" t="s">
        <v>254</v>
      </c>
      <c r="N39" s="9" t="n">
        <v>1</v>
      </c>
      <c r="O39" s="9" t="n">
        <v>1</v>
      </c>
      <c r="P39" s="9" t="str">
        <f aca="false">HYPERLINK("https://www.cqc.org.uk/location/1-16953942456","https://www.cqc.org.uk/location/1-16953942456")</f>
        <v>https://www.cqc.org.uk/location/1-16953942456</v>
      </c>
      <c r="Q39" s="9"/>
      <c r="R39" s="10" t="n">
        <v>46266</v>
      </c>
      <c r="S39" s="10" t="n">
        <v>46267</v>
      </c>
      <c r="T39" s="10" t="n">
        <v>46273</v>
      </c>
      <c r="U39" s="9" t="n">
        <v>17849</v>
      </c>
    </row>
    <row r="40" customFormat="false" ht="64" hidden="false" customHeight="true" outlineLevel="0" collapsed="false">
      <c r="A40" s="7" t="s">
        <v>435</v>
      </c>
      <c r="B40" s="7" t="s">
        <v>436</v>
      </c>
      <c r="C40" s="7" t="s">
        <v>437</v>
      </c>
      <c r="D40" s="7" t="s">
        <v>438</v>
      </c>
      <c r="E40" s="7" t="s">
        <v>4</v>
      </c>
      <c r="F40" s="7" t="s">
        <v>439</v>
      </c>
      <c r="G40" s="8" t="n">
        <v>45097</v>
      </c>
      <c r="H40" s="7" t="s">
        <v>268</v>
      </c>
      <c r="I40" s="8" t="n">
        <v>43568</v>
      </c>
      <c r="J40" s="7" t="s">
        <v>254</v>
      </c>
      <c r="K40" s="7" t="s">
        <v>252</v>
      </c>
      <c r="L40" s="7" t="s">
        <v>364</v>
      </c>
      <c r="M40" s="7" t="s">
        <v>254</v>
      </c>
      <c r="N40" s="7" t="n">
        <v>2</v>
      </c>
      <c r="O40" s="7" t="n">
        <v>1</v>
      </c>
      <c r="P40" s="7" t="str">
        <f aca="false">HYPERLINK("https://www.cqc.org.uk/location/1-16325372876","https://www.cqc.org.uk/location/1-16325372876")</f>
        <v>https://www.cqc.org.uk/location/1-16325372876</v>
      </c>
      <c r="Q40" s="7" t="s">
        <v>440</v>
      </c>
      <c r="R40" s="8" t="n">
        <v>46266</v>
      </c>
      <c r="S40" s="8" t="n">
        <v>46267</v>
      </c>
      <c r="T40" s="8" t="n">
        <v>46273</v>
      </c>
      <c r="U40" s="7" t="n">
        <v>17159</v>
      </c>
    </row>
    <row r="41" customFormat="false" ht="64" hidden="false" customHeight="true" outlineLevel="0" collapsed="false">
      <c r="A41" s="9" t="s">
        <v>441</v>
      </c>
      <c r="B41" s="9" t="s">
        <v>442</v>
      </c>
      <c r="C41" s="9" t="s">
        <v>443</v>
      </c>
      <c r="D41" s="9" t="s">
        <v>444</v>
      </c>
      <c r="E41" s="9" t="s">
        <v>4</v>
      </c>
      <c r="F41" s="9" t="s">
        <v>445</v>
      </c>
      <c r="G41" s="10" t="n">
        <v>45722</v>
      </c>
      <c r="H41" s="9"/>
      <c r="I41" s="10"/>
      <c r="J41" s="9"/>
      <c r="K41" s="9" t="s">
        <v>245</v>
      </c>
      <c r="L41" s="9" t="s">
        <v>386</v>
      </c>
      <c r="M41" s="9" t="s">
        <v>244</v>
      </c>
      <c r="N41" s="9" t="n">
        <v>1</v>
      </c>
      <c r="O41" s="9" t="n">
        <v>1</v>
      </c>
      <c r="P41" s="9" t="str">
        <f aca="false">HYPERLINK("https://www.cqc.org.uk/location/1-21723892882","https://www.cqc.org.uk/location/1-21723892882")</f>
        <v>https://www.cqc.org.uk/location/1-21723892882</v>
      </c>
      <c r="Q41" s="9" t="s">
        <v>446</v>
      </c>
      <c r="R41" s="10" t="n">
        <v>46266</v>
      </c>
      <c r="S41" s="10" t="n">
        <v>46267</v>
      </c>
      <c r="T41" s="10" t="n">
        <v>46273</v>
      </c>
      <c r="U41" s="9" t="n">
        <v>27895</v>
      </c>
    </row>
    <row r="42" customFormat="false" ht="64" hidden="false" customHeight="true" outlineLevel="0" collapsed="false">
      <c r="A42" s="7" t="s">
        <v>447</v>
      </c>
      <c r="B42" s="7" t="s">
        <v>448</v>
      </c>
      <c r="C42" s="7" t="s">
        <v>448</v>
      </c>
      <c r="D42" s="7" t="s">
        <v>449</v>
      </c>
      <c r="E42" s="7" t="s">
        <v>4</v>
      </c>
      <c r="F42" s="7" t="s">
        <v>450</v>
      </c>
      <c r="G42" s="8" t="n">
        <v>44673</v>
      </c>
      <c r="H42" s="7" t="s">
        <v>260</v>
      </c>
      <c r="I42" s="8"/>
      <c r="J42" s="7" t="s">
        <v>244</v>
      </c>
      <c r="K42" s="7" t="s">
        <v>252</v>
      </c>
      <c r="L42" s="7" t="s">
        <v>451</v>
      </c>
      <c r="M42" s="7" t="s">
        <v>254</v>
      </c>
      <c r="N42" s="7" t="n">
        <v>1</v>
      </c>
      <c r="O42" s="7" t="n">
        <v>1</v>
      </c>
      <c r="P42" s="7" t="str">
        <f aca="false">HYPERLINK("https://www.cqc.org.uk/location/1-13007005114","https://www.cqc.org.uk/location/1-13007005114")</f>
        <v>https://www.cqc.org.uk/location/1-13007005114</v>
      </c>
      <c r="Q42" s="7" t="s">
        <v>452</v>
      </c>
      <c r="R42" s="8" t="n">
        <v>46266</v>
      </c>
      <c r="S42" s="8" t="n">
        <v>46267</v>
      </c>
      <c r="T42" s="8" t="n">
        <v>46273</v>
      </c>
      <c r="U42" s="7" t="n">
        <v>10101</v>
      </c>
    </row>
    <row r="43" customFormat="false" ht="64" hidden="false" customHeight="true" outlineLevel="0" collapsed="false">
      <c r="A43" s="9" t="s">
        <v>114</v>
      </c>
      <c r="B43" s="9" t="s">
        <v>115</v>
      </c>
      <c r="C43" s="9" t="s">
        <v>109</v>
      </c>
      <c r="D43" s="9" t="s">
        <v>113</v>
      </c>
      <c r="E43" s="9" t="s">
        <v>4</v>
      </c>
      <c r="F43" s="9" t="s">
        <v>453</v>
      </c>
      <c r="G43" s="10" t="n">
        <v>45589</v>
      </c>
      <c r="H43" s="9"/>
      <c r="I43" s="10"/>
      <c r="J43" s="9"/>
      <c r="K43" s="9" t="s">
        <v>454</v>
      </c>
      <c r="L43" s="9" t="s">
        <v>386</v>
      </c>
      <c r="M43" s="9" t="s">
        <v>244</v>
      </c>
      <c r="N43" s="9" t="n">
        <v>4</v>
      </c>
      <c r="O43" s="9" t="n">
        <v>2</v>
      </c>
      <c r="P43" s="9" t="str">
        <f aca="false">HYPERLINK("https://www.cqc.org.uk/location/1-20173366121","https://www.cqc.org.uk/location/1-20173366121")</f>
        <v>https://www.cqc.org.uk/location/1-20173366121</v>
      </c>
      <c r="Q43" s="9" t="s">
        <v>455</v>
      </c>
      <c r="R43" s="10" t="n">
        <v>46266</v>
      </c>
      <c r="S43" s="10" t="n">
        <v>46267</v>
      </c>
      <c r="T43" s="10" t="n">
        <v>46273</v>
      </c>
      <c r="U43" s="9" t="n">
        <v>25329</v>
      </c>
    </row>
    <row r="44" customFormat="false" ht="64" hidden="false" customHeight="true" outlineLevel="0" collapsed="false">
      <c r="A44" s="7" t="s">
        <v>456</v>
      </c>
      <c r="B44" s="7" t="s">
        <v>457</v>
      </c>
      <c r="C44" s="7" t="s">
        <v>109</v>
      </c>
      <c r="D44" s="7" t="s">
        <v>113</v>
      </c>
      <c r="E44" s="7" t="s">
        <v>4</v>
      </c>
      <c r="F44" s="7" t="s">
        <v>458</v>
      </c>
      <c r="G44" s="8" t="n">
        <v>42531</v>
      </c>
      <c r="H44" s="7" t="s">
        <v>268</v>
      </c>
      <c r="I44" s="8" t="n">
        <v>43277</v>
      </c>
      <c r="J44" s="7" t="s">
        <v>244</v>
      </c>
      <c r="K44" s="7" t="s">
        <v>245</v>
      </c>
      <c r="L44" s="7" t="s">
        <v>451</v>
      </c>
      <c r="M44" s="7" t="s">
        <v>244</v>
      </c>
      <c r="N44" s="7" t="n">
        <v>4</v>
      </c>
      <c r="O44" s="7" t="n">
        <v>2</v>
      </c>
      <c r="P44" s="7" t="str">
        <f aca="false">HYPERLINK("https://www.cqc.org.uk/location/1-2702214180","https://www.cqc.org.uk/location/1-2702214180")</f>
        <v>https://www.cqc.org.uk/location/1-2702214180</v>
      </c>
      <c r="Q44" s="7" t="s">
        <v>455</v>
      </c>
      <c r="R44" s="8" t="n">
        <v>46266</v>
      </c>
      <c r="S44" s="8" t="n">
        <v>46267</v>
      </c>
      <c r="T44" s="8" t="n">
        <v>46273</v>
      </c>
      <c r="U44" s="7" t="n">
        <v>35518</v>
      </c>
    </row>
    <row r="45" customFormat="false" ht="64" hidden="false" customHeight="true" outlineLevel="0" collapsed="false">
      <c r="A45" s="9" t="s">
        <v>459</v>
      </c>
      <c r="B45" s="9" t="s">
        <v>460</v>
      </c>
      <c r="C45" s="9" t="s">
        <v>461</v>
      </c>
      <c r="D45" s="9" t="s">
        <v>462</v>
      </c>
      <c r="E45" s="9" t="s">
        <v>4</v>
      </c>
      <c r="F45" s="9" t="s">
        <v>463</v>
      </c>
      <c r="G45" s="10" t="n">
        <v>42353</v>
      </c>
      <c r="H45" s="9" t="s">
        <v>268</v>
      </c>
      <c r="I45" s="10" t="n">
        <v>43797</v>
      </c>
      <c r="J45" s="9" t="s">
        <v>244</v>
      </c>
      <c r="K45" s="9" t="s">
        <v>245</v>
      </c>
      <c r="L45" s="9" t="s">
        <v>464</v>
      </c>
      <c r="M45" s="9" t="s">
        <v>244</v>
      </c>
      <c r="N45" s="9" t="n">
        <v>1</v>
      </c>
      <c r="O45" s="9" t="n">
        <v>1</v>
      </c>
      <c r="P45" s="9" t="str">
        <f aca="false">HYPERLINK("https://www.cqc.org.uk/location/1-2352192732","https://www.cqc.org.uk/location/1-2352192732")</f>
        <v>https://www.cqc.org.uk/location/1-2352192732</v>
      </c>
      <c r="Q45" s="9" t="s">
        <v>465</v>
      </c>
      <c r="R45" s="10" t="n">
        <v>46266</v>
      </c>
      <c r="S45" s="10" t="n">
        <v>46267</v>
      </c>
      <c r="T45" s="10" t="n">
        <v>46273</v>
      </c>
      <c r="U45" s="9" t="n">
        <v>30988</v>
      </c>
    </row>
    <row r="46" customFormat="false" ht="64" hidden="false" customHeight="true" outlineLevel="0" collapsed="false">
      <c r="A46" s="7" t="s">
        <v>466</v>
      </c>
      <c r="B46" s="7" t="s">
        <v>467</v>
      </c>
      <c r="C46" s="7" t="s">
        <v>468</v>
      </c>
      <c r="D46" s="7" t="s">
        <v>469</v>
      </c>
      <c r="E46" s="7" t="s">
        <v>4</v>
      </c>
      <c r="F46" s="7" t="s">
        <v>470</v>
      </c>
      <c r="G46" s="8" t="n">
        <v>41666</v>
      </c>
      <c r="H46" s="7" t="s">
        <v>268</v>
      </c>
      <c r="I46" s="8" t="n">
        <v>43018</v>
      </c>
      <c r="J46" s="7" t="s">
        <v>244</v>
      </c>
      <c r="K46" s="7" t="s">
        <v>252</v>
      </c>
      <c r="L46" s="7" t="s">
        <v>471</v>
      </c>
      <c r="M46" s="7" t="s">
        <v>254</v>
      </c>
      <c r="N46" s="7" t="n">
        <v>1</v>
      </c>
      <c r="O46" s="7" t="n">
        <v>1</v>
      </c>
      <c r="P46" s="7" t="str">
        <f aca="false">HYPERLINK("https://www.cqc.org.uk/location/1-1150868204","https://www.cqc.org.uk/location/1-1150868204")</f>
        <v>https://www.cqc.org.uk/location/1-1150868204</v>
      </c>
      <c r="Q46" s="7"/>
      <c r="R46" s="8" t="n">
        <v>46266</v>
      </c>
      <c r="S46" s="8" t="n">
        <v>46267</v>
      </c>
      <c r="T46" s="8" t="n">
        <v>46273</v>
      </c>
      <c r="U46" s="7" t="n">
        <v>3558</v>
      </c>
    </row>
    <row r="47" customFormat="false" ht="64" hidden="false" customHeight="true" outlineLevel="0" collapsed="false">
      <c r="A47" s="9" t="s">
        <v>472</v>
      </c>
      <c r="B47" s="9" t="s">
        <v>473</v>
      </c>
      <c r="C47" s="9" t="s">
        <v>474</v>
      </c>
      <c r="D47" s="9" t="s">
        <v>475</v>
      </c>
      <c r="E47" s="9" t="s">
        <v>4</v>
      </c>
      <c r="F47" s="9" t="s">
        <v>476</v>
      </c>
      <c r="G47" s="10" t="n">
        <v>45644</v>
      </c>
      <c r="H47" s="9" t="s">
        <v>268</v>
      </c>
      <c r="I47" s="10" t="n">
        <v>43718</v>
      </c>
      <c r="J47" s="9" t="s">
        <v>254</v>
      </c>
      <c r="K47" s="9" t="s">
        <v>252</v>
      </c>
      <c r="L47" s="9" t="s">
        <v>451</v>
      </c>
      <c r="M47" s="9" t="s">
        <v>254</v>
      </c>
      <c r="N47" s="9" t="n">
        <v>1</v>
      </c>
      <c r="O47" s="9" t="n">
        <v>1</v>
      </c>
      <c r="P47" s="9" t="str">
        <f aca="false">HYPERLINK("https://www.cqc.org.uk/location/1-20708018081","https://www.cqc.org.uk/location/1-20708018081")</f>
        <v>https://www.cqc.org.uk/location/1-20708018081</v>
      </c>
      <c r="Q47" s="9" t="s">
        <v>477</v>
      </c>
      <c r="R47" s="10" t="n">
        <v>46266</v>
      </c>
      <c r="S47" s="10" t="n">
        <v>46267</v>
      </c>
      <c r="T47" s="10" t="n">
        <v>46273</v>
      </c>
      <c r="U47" s="9" t="n">
        <v>26621</v>
      </c>
    </row>
    <row r="48" customFormat="false" ht="64" hidden="false" customHeight="true" outlineLevel="0" collapsed="false">
      <c r="A48" s="7" t="s">
        <v>478</v>
      </c>
      <c r="B48" s="7" t="s">
        <v>479</v>
      </c>
      <c r="C48" s="7" t="s">
        <v>480</v>
      </c>
      <c r="D48" s="7" t="s">
        <v>481</v>
      </c>
      <c r="E48" s="7" t="s">
        <v>4</v>
      </c>
      <c r="F48" s="7" t="s">
        <v>284</v>
      </c>
      <c r="G48" s="8" t="n">
        <v>44509</v>
      </c>
      <c r="H48" s="7" t="s">
        <v>268</v>
      </c>
      <c r="I48" s="8" t="n">
        <v>45260</v>
      </c>
      <c r="J48" s="7" t="s">
        <v>244</v>
      </c>
      <c r="K48" s="7" t="s">
        <v>252</v>
      </c>
      <c r="L48" s="7" t="s">
        <v>482</v>
      </c>
      <c r="M48" s="7" t="s">
        <v>254</v>
      </c>
      <c r="N48" s="7" t="n">
        <v>1</v>
      </c>
      <c r="O48" s="7" t="n">
        <v>1</v>
      </c>
      <c r="P48" s="7" t="str">
        <f aca="false">HYPERLINK("https://www.cqc.org.uk/location/1-11823060917","https://www.cqc.org.uk/location/1-11823060917")</f>
        <v>https://www.cqc.org.uk/location/1-11823060917</v>
      </c>
      <c r="Q48" s="7" t="s">
        <v>483</v>
      </c>
      <c r="R48" s="8" t="n">
        <v>46266</v>
      </c>
      <c r="S48" s="8" t="n">
        <v>46267</v>
      </c>
      <c r="T48" s="8" t="n">
        <v>46273</v>
      </c>
      <c r="U48" s="7" t="n">
        <v>4727</v>
      </c>
    </row>
    <row r="49" customFormat="false" ht="64" hidden="false" customHeight="true" outlineLevel="0" collapsed="false">
      <c r="A49" s="9" t="s">
        <v>484</v>
      </c>
      <c r="B49" s="9" t="s">
        <v>485</v>
      </c>
      <c r="C49" s="9" t="s">
        <v>486</v>
      </c>
      <c r="D49" s="9" t="s">
        <v>487</v>
      </c>
      <c r="E49" s="9" t="s">
        <v>4</v>
      </c>
      <c r="F49" s="9" t="s">
        <v>488</v>
      </c>
      <c r="G49" s="10" t="n">
        <v>42313</v>
      </c>
      <c r="H49" s="9" t="s">
        <v>268</v>
      </c>
      <c r="I49" s="10" t="n">
        <v>43664</v>
      </c>
      <c r="J49" s="9" t="s">
        <v>244</v>
      </c>
      <c r="K49" s="9" t="s">
        <v>252</v>
      </c>
      <c r="L49" s="9" t="s">
        <v>489</v>
      </c>
      <c r="M49" s="9" t="s">
        <v>254</v>
      </c>
      <c r="N49" s="9" t="n">
        <v>2</v>
      </c>
      <c r="O49" s="9" t="n">
        <v>1</v>
      </c>
      <c r="P49" s="9" t="str">
        <f aca="false">HYPERLINK("https://www.cqc.org.uk/location/1-2267490173","https://www.cqc.org.uk/location/1-2267490173")</f>
        <v>https://www.cqc.org.uk/location/1-2267490173</v>
      </c>
      <c r="Q49" s="9"/>
      <c r="R49" s="10" t="n">
        <v>46266</v>
      </c>
      <c r="S49" s="10" t="n">
        <v>46267</v>
      </c>
      <c r="T49" s="10" t="n">
        <v>46273</v>
      </c>
      <c r="U49" s="9" t="n">
        <v>29751</v>
      </c>
    </row>
    <row r="50" customFormat="false" ht="64" hidden="false" customHeight="true" outlineLevel="0" collapsed="false">
      <c r="A50" s="7" t="s">
        <v>490</v>
      </c>
      <c r="B50" s="7" t="s">
        <v>491</v>
      </c>
      <c r="C50" s="7" t="s">
        <v>491</v>
      </c>
      <c r="D50" s="7" t="s">
        <v>492</v>
      </c>
      <c r="E50" s="7" t="s">
        <v>4</v>
      </c>
      <c r="F50" s="7" t="s">
        <v>493</v>
      </c>
      <c r="G50" s="8" t="n">
        <v>44951</v>
      </c>
      <c r="H50" s="7"/>
      <c r="I50" s="8"/>
      <c r="J50" s="7"/>
      <c r="K50" s="7" t="s">
        <v>252</v>
      </c>
      <c r="L50" s="7" t="s">
        <v>451</v>
      </c>
      <c r="M50" s="7" t="s">
        <v>254</v>
      </c>
      <c r="N50" s="7" t="n">
        <v>1</v>
      </c>
      <c r="O50" s="7" t="n">
        <v>1</v>
      </c>
      <c r="P50" s="7" t="str">
        <f aca="false">HYPERLINK("https://www.cqc.org.uk/location/1-14836689396","https://www.cqc.org.uk/location/1-14836689396")</f>
        <v>https://www.cqc.org.uk/location/1-14836689396</v>
      </c>
      <c r="Q50" s="7" t="s">
        <v>494</v>
      </c>
      <c r="R50" s="8" t="n">
        <v>46266</v>
      </c>
      <c r="S50" s="8" t="n">
        <v>46267</v>
      </c>
      <c r="T50" s="8" t="n">
        <v>46273</v>
      </c>
      <c r="U50" s="7" t="n">
        <v>14882</v>
      </c>
    </row>
    <row r="51" customFormat="false" ht="64" hidden="false" customHeight="true" outlineLevel="0" collapsed="false">
      <c r="A51" s="9" t="s">
        <v>495</v>
      </c>
      <c r="B51" s="9" t="s">
        <v>496</v>
      </c>
      <c r="C51" s="9" t="s">
        <v>497</v>
      </c>
      <c r="D51" s="9" t="s">
        <v>498</v>
      </c>
      <c r="E51" s="9" t="s">
        <v>4</v>
      </c>
      <c r="F51" s="9" t="s">
        <v>499</v>
      </c>
      <c r="G51" s="10" t="n">
        <v>44006</v>
      </c>
      <c r="H51" s="9" t="s">
        <v>268</v>
      </c>
      <c r="I51" s="10" t="n">
        <v>44555</v>
      </c>
      <c r="J51" s="9" t="s">
        <v>244</v>
      </c>
      <c r="K51" s="9" t="s">
        <v>245</v>
      </c>
      <c r="L51" s="9" t="s">
        <v>269</v>
      </c>
      <c r="M51" s="9" t="s">
        <v>244</v>
      </c>
      <c r="N51" s="9" t="n">
        <v>2</v>
      </c>
      <c r="O51" s="9" t="n">
        <v>1</v>
      </c>
      <c r="P51" s="9" t="str">
        <f aca="false">HYPERLINK("https://www.cqc.org.uk/location/1-9111017585","https://www.cqc.org.uk/location/1-9111017585")</f>
        <v>https://www.cqc.org.uk/location/1-9111017585</v>
      </c>
      <c r="Q51" s="9"/>
      <c r="R51" s="10" t="n">
        <v>46266</v>
      </c>
      <c r="S51" s="10" t="n">
        <v>46267</v>
      </c>
      <c r="T51" s="10" t="n">
        <v>46273</v>
      </c>
      <c r="U51" s="9" t="n">
        <v>53858</v>
      </c>
    </row>
    <row r="52" customFormat="false" ht="64" hidden="false" customHeight="true" outlineLevel="0" collapsed="false">
      <c r="A52" s="7" t="s">
        <v>500</v>
      </c>
      <c r="B52" s="7" t="s">
        <v>501</v>
      </c>
      <c r="C52" s="7" t="s">
        <v>502</v>
      </c>
      <c r="D52" s="7" t="s">
        <v>503</v>
      </c>
      <c r="E52" s="7" t="s">
        <v>4</v>
      </c>
      <c r="F52" s="7" t="s">
        <v>504</v>
      </c>
      <c r="G52" s="8" t="n">
        <v>45763</v>
      </c>
      <c r="H52" s="7"/>
      <c r="I52" s="8"/>
      <c r="J52" s="7"/>
      <c r="K52" s="7" t="s">
        <v>252</v>
      </c>
      <c r="L52" s="7" t="s">
        <v>315</v>
      </c>
      <c r="M52" s="7" t="s">
        <v>254</v>
      </c>
      <c r="N52" s="7" t="n">
        <v>1</v>
      </c>
      <c r="O52" s="7" t="n">
        <v>1</v>
      </c>
      <c r="P52" s="7" t="str">
        <f aca="false">HYPERLINK("https://www.cqc.org.uk/location/1-22161601405","https://www.cqc.org.uk/location/1-22161601405")</f>
        <v>https://www.cqc.org.uk/location/1-22161601405</v>
      </c>
      <c r="Q52" s="7"/>
      <c r="R52" s="8" t="n">
        <v>46266</v>
      </c>
      <c r="S52" s="8" t="n">
        <v>46267</v>
      </c>
      <c r="T52" s="8" t="n">
        <v>46273</v>
      </c>
      <c r="U52" s="7" t="n">
        <v>29260</v>
      </c>
    </row>
    <row r="53" customFormat="false" ht="64" hidden="false" customHeight="true" outlineLevel="0" collapsed="false">
      <c r="A53" s="9" t="s">
        <v>505</v>
      </c>
      <c r="B53" s="9" t="s">
        <v>506</v>
      </c>
      <c r="C53" s="9" t="s">
        <v>507</v>
      </c>
      <c r="D53" s="9" t="s">
        <v>508</v>
      </c>
      <c r="E53" s="9" t="s">
        <v>4</v>
      </c>
      <c r="F53" s="9" t="s">
        <v>426</v>
      </c>
      <c r="G53" s="10" t="n">
        <v>43544</v>
      </c>
      <c r="H53" s="9" t="s">
        <v>268</v>
      </c>
      <c r="I53" s="10" t="n">
        <v>43897</v>
      </c>
      <c r="J53" s="9" t="s">
        <v>244</v>
      </c>
      <c r="K53" s="9" t="s">
        <v>252</v>
      </c>
      <c r="L53" s="9" t="s">
        <v>509</v>
      </c>
      <c r="M53" s="9" t="s">
        <v>254</v>
      </c>
      <c r="N53" s="9" t="n">
        <v>1</v>
      </c>
      <c r="O53" s="9" t="n">
        <v>1</v>
      </c>
      <c r="P53" s="9" t="str">
        <f aca="false">HYPERLINK("https://www.cqc.org.uk/location/1-6611825922","https://www.cqc.org.uk/location/1-6611825922")</f>
        <v>https://www.cqc.org.uk/location/1-6611825922</v>
      </c>
      <c r="Q53" s="9" t="s">
        <v>510</v>
      </c>
      <c r="R53" s="10" t="n">
        <v>46266</v>
      </c>
      <c r="S53" s="10" t="n">
        <v>46267</v>
      </c>
      <c r="T53" s="10" t="n">
        <v>46273</v>
      </c>
      <c r="U53" s="9" t="n">
        <v>50279</v>
      </c>
    </row>
    <row r="54" customFormat="false" ht="64" hidden="false" customHeight="true" outlineLevel="0" collapsed="false">
      <c r="A54" s="7" t="s">
        <v>511</v>
      </c>
      <c r="B54" s="7" t="s">
        <v>512</v>
      </c>
      <c r="C54" s="7" t="s">
        <v>513</v>
      </c>
      <c r="D54" s="7" t="s">
        <v>514</v>
      </c>
      <c r="E54" s="7" t="s">
        <v>4</v>
      </c>
      <c r="F54" s="7" t="s">
        <v>515</v>
      </c>
      <c r="G54" s="8" t="n">
        <v>44372</v>
      </c>
      <c r="H54" s="7" t="s">
        <v>260</v>
      </c>
      <c r="I54" s="8"/>
      <c r="J54" s="7" t="s">
        <v>244</v>
      </c>
      <c r="K54" s="7" t="s">
        <v>252</v>
      </c>
      <c r="L54" s="7" t="s">
        <v>386</v>
      </c>
      <c r="M54" s="7" t="s">
        <v>254</v>
      </c>
      <c r="N54" s="7" t="n">
        <v>1</v>
      </c>
      <c r="O54" s="7" t="n">
        <v>1</v>
      </c>
      <c r="P54" s="7" t="str">
        <f aca="false">HYPERLINK("https://www.cqc.org.uk/location/1-11140088585","https://www.cqc.org.uk/location/1-11140088585")</f>
        <v>https://www.cqc.org.uk/location/1-11140088585</v>
      </c>
      <c r="Q54" s="7" t="s">
        <v>516</v>
      </c>
      <c r="R54" s="8" t="n">
        <v>46266</v>
      </c>
      <c r="S54" s="8" t="n">
        <v>46267</v>
      </c>
      <c r="T54" s="8" t="n">
        <v>46273</v>
      </c>
      <c r="U54" s="7" t="n">
        <v>2347</v>
      </c>
    </row>
    <row r="55" customFormat="false" ht="64" hidden="false" customHeight="true" outlineLevel="0" collapsed="false">
      <c r="A55" s="9" t="s">
        <v>517</v>
      </c>
      <c r="B55" s="9" t="s">
        <v>518</v>
      </c>
      <c r="C55" s="9" t="s">
        <v>518</v>
      </c>
      <c r="D55" s="9" t="s">
        <v>519</v>
      </c>
      <c r="E55" s="9" t="s">
        <v>4</v>
      </c>
      <c r="F55" s="9" t="s">
        <v>520</v>
      </c>
      <c r="G55" s="10" t="n">
        <v>40515</v>
      </c>
      <c r="H55" s="9" t="s">
        <v>268</v>
      </c>
      <c r="I55" s="10" t="n">
        <v>44607</v>
      </c>
      <c r="J55" s="9" t="s">
        <v>244</v>
      </c>
      <c r="K55" s="9" t="s">
        <v>252</v>
      </c>
      <c r="L55" s="9" t="s">
        <v>521</v>
      </c>
      <c r="M55" s="9" t="s">
        <v>254</v>
      </c>
      <c r="N55" s="9" t="n">
        <v>1</v>
      </c>
      <c r="O55" s="9" t="n">
        <v>1</v>
      </c>
      <c r="P55" s="9" t="str">
        <f aca="false">HYPERLINK("https://www.cqc.org.uk/location/1-127836668","https://www.cqc.org.uk/location/1-127836668")</f>
        <v>https://www.cqc.org.uk/location/1-127836668</v>
      </c>
      <c r="Q55" s="9" t="s">
        <v>522</v>
      </c>
      <c r="R55" s="10" t="n">
        <v>46266</v>
      </c>
      <c r="S55" s="10" t="n">
        <v>46267</v>
      </c>
      <c r="T55" s="10" t="n">
        <v>46273</v>
      </c>
      <c r="U55" s="9" t="n">
        <v>9226</v>
      </c>
    </row>
    <row r="56" customFormat="false" ht="64" hidden="false" customHeight="true" outlineLevel="0" collapsed="false">
      <c r="A56" s="7" t="s">
        <v>523</v>
      </c>
      <c r="B56" s="7" t="s">
        <v>524</v>
      </c>
      <c r="C56" s="7" t="s">
        <v>525</v>
      </c>
      <c r="D56" s="7" t="s">
        <v>526</v>
      </c>
      <c r="E56" s="7" t="s">
        <v>4</v>
      </c>
      <c r="F56" s="7" t="s">
        <v>527</v>
      </c>
      <c r="G56" s="8" t="n">
        <v>45100</v>
      </c>
      <c r="H56" s="7"/>
      <c r="I56" s="8"/>
      <c r="J56" s="7"/>
      <c r="K56" s="7" t="s">
        <v>245</v>
      </c>
      <c r="L56" s="7" t="s">
        <v>280</v>
      </c>
      <c r="M56" s="7" t="s">
        <v>244</v>
      </c>
      <c r="N56" s="7" t="n">
        <v>1</v>
      </c>
      <c r="O56" s="7" t="n">
        <v>1</v>
      </c>
      <c r="P56" s="7" t="str">
        <f aca="false">HYPERLINK("https://www.cqc.org.uk/location/1-16392427958","https://www.cqc.org.uk/location/1-16392427958")</f>
        <v>https://www.cqc.org.uk/location/1-16392427958</v>
      </c>
      <c r="Q56" s="7" t="s">
        <v>528</v>
      </c>
      <c r="R56" s="8" t="n">
        <v>46266</v>
      </c>
      <c r="S56" s="8" t="n">
        <v>46267</v>
      </c>
      <c r="T56" s="8" t="n">
        <v>46273</v>
      </c>
      <c r="U56" s="7" t="n">
        <v>17271</v>
      </c>
    </row>
    <row r="57" customFormat="false" ht="64" hidden="false" customHeight="true" outlineLevel="0" collapsed="false">
      <c r="A57" s="9" t="s">
        <v>529</v>
      </c>
      <c r="B57" s="9" t="s">
        <v>530</v>
      </c>
      <c r="C57" s="9" t="s">
        <v>530</v>
      </c>
      <c r="D57" s="9" t="s">
        <v>531</v>
      </c>
      <c r="E57" s="9" t="s">
        <v>4</v>
      </c>
      <c r="F57" s="9" t="s">
        <v>532</v>
      </c>
      <c r="G57" s="10" t="n">
        <v>42894</v>
      </c>
      <c r="H57" s="9" t="s">
        <v>268</v>
      </c>
      <c r="I57" s="10" t="n">
        <v>43813</v>
      </c>
      <c r="J57" s="9" t="s">
        <v>244</v>
      </c>
      <c r="K57" s="9" t="s">
        <v>252</v>
      </c>
      <c r="L57" s="9" t="s">
        <v>533</v>
      </c>
      <c r="M57" s="9" t="s">
        <v>254</v>
      </c>
      <c r="N57" s="9" t="n">
        <v>2</v>
      </c>
      <c r="O57" s="9" t="n">
        <v>1</v>
      </c>
      <c r="P57" s="9" t="str">
        <f aca="false">HYPERLINK("https://www.cqc.org.uk/location/1-3910729651","https://www.cqc.org.uk/location/1-3910729651")</f>
        <v>https://www.cqc.org.uk/location/1-3910729651</v>
      </c>
      <c r="Q57" s="9"/>
      <c r="R57" s="10" t="n">
        <v>46266</v>
      </c>
      <c r="S57" s="10" t="n">
        <v>46267</v>
      </c>
      <c r="T57" s="10" t="n">
        <v>46273</v>
      </c>
      <c r="U57" s="9" t="n">
        <v>40587</v>
      </c>
    </row>
    <row r="58" customFormat="false" ht="64" hidden="false" customHeight="true" outlineLevel="0" collapsed="false">
      <c r="A58" s="7" t="s">
        <v>534</v>
      </c>
      <c r="B58" s="7" t="s">
        <v>535</v>
      </c>
      <c r="C58" s="7" t="s">
        <v>536</v>
      </c>
      <c r="D58" s="7" t="s">
        <v>537</v>
      </c>
      <c r="E58" s="7" t="s">
        <v>4</v>
      </c>
      <c r="F58" s="7" t="s">
        <v>538</v>
      </c>
      <c r="G58" s="8" t="n">
        <v>45824</v>
      </c>
      <c r="H58" s="7"/>
      <c r="I58" s="8"/>
      <c r="J58" s="7"/>
      <c r="K58" s="7" t="s">
        <v>245</v>
      </c>
      <c r="L58" s="7" t="s">
        <v>539</v>
      </c>
      <c r="M58" s="7" t="s">
        <v>244</v>
      </c>
      <c r="N58" s="7" t="n">
        <v>1</v>
      </c>
      <c r="O58" s="7" t="n">
        <v>1</v>
      </c>
      <c r="P58" s="7" t="str">
        <f aca="false">HYPERLINK("https://www.cqc.org.uk/location/1-22953020078","https://www.cqc.org.uk/location/1-22953020078")</f>
        <v>https://www.cqc.org.uk/location/1-22953020078</v>
      </c>
      <c r="Q58" s="7"/>
      <c r="R58" s="8" t="n">
        <v>46266</v>
      </c>
      <c r="S58" s="8" t="n">
        <v>46267</v>
      </c>
      <c r="T58" s="8" t="n">
        <v>46273</v>
      </c>
      <c r="U58" s="7" t="n">
        <v>30155</v>
      </c>
    </row>
    <row r="59" customFormat="false" ht="64" hidden="false" customHeight="true" outlineLevel="0" collapsed="false">
      <c r="A59" s="9" t="s">
        <v>540</v>
      </c>
      <c r="B59" s="9" t="s">
        <v>541</v>
      </c>
      <c r="C59" s="9" t="s">
        <v>541</v>
      </c>
      <c r="D59" s="9" t="s">
        <v>542</v>
      </c>
      <c r="E59" s="9" t="s">
        <v>4</v>
      </c>
      <c r="F59" s="9" t="s">
        <v>356</v>
      </c>
      <c r="G59" s="10" t="n">
        <v>40675</v>
      </c>
      <c r="H59" s="9" t="s">
        <v>243</v>
      </c>
      <c r="I59" s="10" t="n">
        <v>43824</v>
      </c>
      <c r="J59" s="9" t="s">
        <v>244</v>
      </c>
      <c r="K59" s="9" t="s">
        <v>245</v>
      </c>
      <c r="L59" s="9" t="s">
        <v>543</v>
      </c>
      <c r="M59" s="9" t="s">
        <v>244</v>
      </c>
      <c r="N59" s="9" t="n">
        <v>1</v>
      </c>
      <c r="O59" s="9" t="n">
        <v>1</v>
      </c>
      <c r="P59" s="9" t="str">
        <f aca="false">HYPERLINK("https://www.cqc.org.uk/location/1-226641203","https://www.cqc.org.uk/location/1-226641203")</f>
        <v>https://www.cqc.org.uk/location/1-226641203</v>
      </c>
      <c r="Q59" s="9" t="s">
        <v>544</v>
      </c>
      <c r="R59" s="10" t="n">
        <v>46266</v>
      </c>
      <c r="S59" s="10" t="n">
        <v>46267</v>
      </c>
      <c r="T59" s="10" t="n">
        <v>46273</v>
      </c>
      <c r="U59" s="9" t="n">
        <v>29744</v>
      </c>
    </row>
    <row r="60" customFormat="false" ht="64" hidden="false" customHeight="true" outlineLevel="0" collapsed="false">
      <c r="A60" s="7" t="s">
        <v>545</v>
      </c>
      <c r="B60" s="7" t="s">
        <v>546</v>
      </c>
      <c r="C60" s="7" t="s">
        <v>547</v>
      </c>
      <c r="D60" s="7" t="s">
        <v>548</v>
      </c>
      <c r="E60" s="7" t="s">
        <v>4</v>
      </c>
      <c r="F60" s="7" t="s">
        <v>307</v>
      </c>
      <c r="G60" s="8" t="n">
        <v>44625</v>
      </c>
      <c r="H60" s="7"/>
      <c r="I60" s="8"/>
      <c r="J60" s="7"/>
      <c r="K60" s="7" t="s">
        <v>252</v>
      </c>
      <c r="L60" s="7" t="s">
        <v>464</v>
      </c>
      <c r="M60" s="7" t="s">
        <v>254</v>
      </c>
      <c r="N60" s="7" t="n">
        <v>1</v>
      </c>
      <c r="O60" s="7" t="n">
        <v>1</v>
      </c>
      <c r="P60" s="7" t="str">
        <f aca="false">HYPERLINK("https://www.cqc.org.uk/location/1-12642216625","https://www.cqc.org.uk/location/1-12642216625")</f>
        <v>https://www.cqc.org.uk/location/1-12642216625</v>
      </c>
      <c r="Q60" s="7" t="s">
        <v>549</v>
      </c>
      <c r="R60" s="8" t="n">
        <v>46266</v>
      </c>
      <c r="S60" s="8" t="n">
        <v>46267</v>
      </c>
      <c r="T60" s="8" t="n">
        <v>46273</v>
      </c>
      <c r="U60" s="7" t="n">
        <v>8673</v>
      </c>
    </row>
    <row r="61" customFormat="false" ht="64" hidden="false" customHeight="true" outlineLevel="0" collapsed="false">
      <c r="A61" s="9" t="s">
        <v>550</v>
      </c>
      <c r="B61" s="9" t="s">
        <v>551</v>
      </c>
      <c r="C61" s="9" t="s">
        <v>551</v>
      </c>
      <c r="D61" s="9" t="s">
        <v>552</v>
      </c>
      <c r="E61" s="9" t="s">
        <v>4</v>
      </c>
      <c r="F61" s="9" t="s">
        <v>553</v>
      </c>
      <c r="G61" s="10" t="n">
        <v>45244</v>
      </c>
      <c r="H61" s="9"/>
      <c r="I61" s="10"/>
      <c r="J61" s="9"/>
      <c r="K61" s="9" t="s">
        <v>252</v>
      </c>
      <c r="L61" s="9" t="s">
        <v>295</v>
      </c>
      <c r="M61" s="9" t="s">
        <v>254</v>
      </c>
      <c r="N61" s="9" t="n">
        <v>1</v>
      </c>
      <c r="O61" s="9" t="n">
        <v>1</v>
      </c>
      <c r="P61" s="9" t="str">
        <f aca="false">HYPERLINK("https://www.cqc.org.uk/location/1-17927174505","https://www.cqc.org.uk/location/1-17927174505")</f>
        <v>https://www.cqc.org.uk/location/1-17927174505</v>
      </c>
      <c r="Q61" s="9" t="s">
        <v>554</v>
      </c>
      <c r="R61" s="10" t="n">
        <v>46266</v>
      </c>
      <c r="S61" s="10" t="n">
        <v>46267</v>
      </c>
      <c r="T61" s="10" t="n">
        <v>46273</v>
      </c>
      <c r="U61" s="9" t="n">
        <v>19073</v>
      </c>
    </row>
    <row r="62" customFormat="false" ht="64" hidden="false" customHeight="true" outlineLevel="0" collapsed="false">
      <c r="A62" s="7" t="s">
        <v>555</v>
      </c>
      <c r="B62" s="7" t="s">
        <v>556</v>
      </c>
      <c r="C62" s="7" t="s">
        <v>557</v>
      </c>
      <c r="D62" s="7" t="s">
        <v>558</v>
      </c>
      <c r="E62" s="7" t="s">
        <v>4</v>
      </c>
      <c r="F62" s="7" t="s">
        <v>559</v>
      </c>
      <c r="G62" s="8" t="n">
        <v>41893</v>
      </c>
      <c r="H62" s="7" t="s">
        <v>243</v>
      </c>
      <c r="I62" s="8" t="n">
        <v>43903</v>
      </c>
      <c r="J62" s="7" t="s">
        <v>244</v>
      </c>
      <c r="K62" s="7" t="s">
        <v>560</v>
      </c>
      <c r="L62" s="7" t="s">
        <v>427</v>
      </c>
      <c r="M62" s="7" t="s">
        <v>244</v>
      </c>
      <c r="N62" s="7" t="n">
        <v>1</v>
      </c>
      <c r="O62" s="7" t="n">
        <v>1</v>
      </c>
      <c r="P62" s="7" t="str">
        <f aca="false">HYPERLINK("https://www.cqc.org.uk/location/1-1597646991","https://www.cqc.org.uk/location/1-1597646991")</f>
        <v>https://www.cqc.org.uk/location/1-1597646991</v>
      </c>
      <c r="Q62" s="7"/>
      <c r="R62" s="8" t="n">
        <v>46266</v>
      </c>
      <c r="S62" s="8" t="n">
        <v>46267</v>
      </c>
      <c r="T62" s="8" t="n">
        <v>46273</v>
      </c>
      <c r="U62" s="7" t="n">
        <v>16864</v>
      </c>
    </row>
    <row r="63" customFormat="false" ht="64" hidden="false" customHeight="true" outlineLevel="0" collapsed="false">
      <c r="A63" s="9" t="s">
        <v>561</v>
      </c>
      <c r="B63" s="9" t="s">
        <v>562</v>
      </c>
      <c r="C63" s="9" t="s">
        <v>562</v>
      </c>
      <c r="D63" s="9" t="s">
        <v>563</v>
      </c>
      <c r="E63" s="9" t="s">
        <v>4</v>
      </c>
      <c r="F63" s="9" t="s">
        <v>404</v>
      </c>
      <c r="G63" s="10" t="n">
        <v>42453</v>
      </c>
      <c r="H63" s="9" t="s">
        <v>268</v>
      </c>
      <c r="I63" s="10" t="n">
        <v>43599</v>
      </c>
      <c r="J63" s="9" t="s">
        <v>244</v>
      </c>
      <c r="K63" s="9" t="s">
        <v>252</v>
      </c>
      <c r="L63" s="9" t="s">
        <v>386</v>
      </c>
      <c r="M63" s="9" t="s">
        <v>254</v>
      </c>
      <c r="N63" s="9" t="n">
        <v>1</v>
      </c>
      <c r="O63" s="9" t="n">
        <v>1</v>
      </c>
      <c r="P63" s="9" t="str">
        <f aca="false">HYPERLINK("https://www.cqc.org.uk/location/1-2435061432","https://www.cqc.org.uk/location/1-2435061432")</f>
        <v>https://www.cqc.org.uk/location/1-2435061432</v>
      </c>
      <c r="Q63" s="9" t="s">
        <v>564</v>
      </c>
      <c r="R63" s="10" t="n">
        <v>46266</v>
      </c>
      <c r="S63" s="10" t="n">
        <v>46267</v>
      </c>
      <c r="T63" s="10" t="n">
        <v>46273</v>
      </c>
      <c r="U63" s="9" t="n">
        <v>32063</v>
      </c>
    </row>
    <row r="64" customFormat="false" ht="64" hidden="false" customHeight="true" outlineLevel="0" collapsed="false">
      <c r="A64" s="7" t="s">
        <v>565</v>
      </c>
      <c r="B64" s="7" t="s">
        <v>566</v>
      </c>
      <c r="C64" s="7" t="s">
        <v>566</v>
      </c>
      <c r="D64" s="7" t="s">
        <v>567</v>
      </c>
      <c r="E64" s="7" t="s">
        <v>4</v>
      </c>
      <c r="F64" s="7" t="s">
        <v>568</v>
      </c>
      <c r="G64" s="8" t="n">
        <v>43265</v>
      </c>
      <c r="H64" s="7" t="s">
        <v>268</v>
      </c>
      <c r="I64" s="8" t="n">
        <v>43608</v>
      </c>
      <c r="J64" s="7" t="s">
        <v>244</v>
      </c>
      <c r="K64" s="7" t="s">
        <v>252</v>
      </c>
      <c r="L64" s="7" t="s">
        <v>386</v>
      </c>
      <c r="M64" s="7" t="s">
        <v>254</v>
      </c>
      <c r="N64" s="7" t="n">
        <v>2</v>
      </c>
      <c r="O64" s="7" t="n">
        <v>1</v>
      </c>
      <c r="P64" s="7" t="str">
        <f aca="false">HYPERLINK("https://www.cqc.org.uk/location/1-5353069319","https://www.cqc.org.uk/location/1-5353069319")</f>
        <v>https://www.cqc.org.uk/location/1-5353069319</v>
      </c>
      <c r="Q64" s="7"/>
      <c r="R64" s="8" t="n">
        <v>46266</v>
      </c>
      <c r="S64" s="8" t="n">
        <v>46267</v>
      </c>
      <c r="T64" s="8" t="n">
        <v>46273</v>
      </c>
      <c r="U64" s="7" t="n">
        <v>44175</v>
      </c>
    </row>
    <row r="65" customFormat="false" ht="64" hidden="false" customHeight="true" outlineLevel="0" collapsed="false">
      <c r="A65" s="9" t="s">
        <v>569</v>
      </c>
      <c r="B65" s="9" t="s">
        <v>570</v>
      </c>
      <c r="C65" s="9" t="s">
        <v>570</v>
      </c>
      <c r="D65" s="9" t="s">
        <v>571</v>
      </c>
      <c r="E65" s="9" t="s">
        <v>4</v>
      </c>
      <c r="F65" s="9" t="s">
        <v>572</v>
      </c>
      <c r="G65" s="10" t="n">
        <v>45407</v>
      </c>
      <c r="H65" s="9"/>
      <c r="I65" s="10"/>
      <c r="J65" s="9"/>
      <c r="K65" s="9" t="s">
        <v>252</v>
      </c>
      <c r="L65" s="9" t="s">
        <v>269</v>
      </c>
      <c r="M65" s="9" t="s">
        <v>254</v>
      </c>
      <c r="N65" s="9" t="n">
        <v>1</v>
      </c>
      <c r="O65" s="9" t="n">
        <v>1</v>
      </c>
      <c r="P65" s="9" t="str">
        <f aca="false">HYPERLINK("https://www.cqc.org.uk/location/1-19060358552","https://www.cqc.org.uk/location/1-19060358552")</f>
        <v>https://www.cqc.org.uk/location/1-19060358552</v>
      </c>
      <c r="Q65" s="9" t="s">
        <v>573</v>
      </c>
      <c r="R65" s="10" t="n">
        <v>46266</v>
      </c>
      <c r="S65" s="10" t="n">
        <v>46267</v>
      </c>
      <c r="T65" s="10" t="n">
        <v>46273</v>
      </c>
      <c r="U65" s="9" t="n">
        <v>21560</v>
      </c>
    </row>
    <row r="66" customFormat="false" ht="64" hidden="false" customHeight="true" outlineLevel="0" collapsed="false">
      <c r="A66" s="7" t="s">
        <v>574</v>
      </c>
      <c r="B66" s="7" t="s">
        <v>575</v>
      </c>
      <c r="C66" s="7" t="s">
        <v>575</v>
      </c>
      <c r="D66" s="7" t="s">
        <v>576</v>
      </c>
      <c r="E66" s="7" t="s">
        <v>4</v>
      </c>
      <c r="F66" s="7" t="s">
        <v>577</v>
      </c>
      <c r="G66" s="8" t="n">
        <v>45915</v>
      </c>
      <c r="H66" s="7"/>
      <c r="I66" s="8"/>
      <c r="J66" s="7"/>
      <c r="K66" s="7" t="s">
        <v>245</v>
      </c>
      <c r="L66" s="7" t="s">
        <v>386</v>
      </c>
      <c r="M66" s="7" t="s">
        <v>244</v>
      </c>
      <c r="N66" s="7" t="n">
        <v>2</v>
      </c>
      <c r="O66" s="7" t="n">
        <v>1</v>
      </c>
      <c r="P66" s="7" t="str">
        <f aca="false">HYPERLINK("https://www.cqc.org.uk/location/1-24674820178","https://www.cqc.org.uk/location/1-24674820178")</f>
        <v>https://www.cqc.org.uk/location/1-24674820178</v>
      </c>
      <c r="Q66" s="7" t="s">
        <v>578</v>
      </c>
      <c r="R66" s="8" t="n">
        <v>46266</v>
      </c>
      <c r="S66" s="8" t="n">
        <v>46267</v>
      </c>
      <c r="T66" s="8" t="n">
        <v>46273</v>
      </c>
      <c r="U66" s="7" t="n">
        <v>32530</v>
      </c>
    </row>
    <row r="67" customFormat="false" ht="64" hidden="false" customHeight="true" outlineLevel="0" collapsed="false">
      <c r="A67" s="9" t="s">
        <v>579</v>
      </c>
      <c r="B67" s="9" t="s">
        <v>580</v>
      </c>
      <c r="C67" s="9" t="s">
        <v>581</v>
      </c>
      <c r="D67" s="9" t="s">
        <v>582</v>
      </c>
      <c r="E67" s="9" t="s">
        <v>4</v>
      </c>
      <c r="F67" s="9" t="s">
        <v>583</v>
      </c>
      <c r="G67" s="10" t="n">
        <v>42710</v>
      </c>
      <c r="H67" s="9" t="s">
        <v>268</v>
      </c>
      <c r="I67" s="10" t="n">
        <v>43550</v>
      </c>
      <c r="J67" s="9" t="s">
        <v>244</v>
      </c>
      <c r="K67" s="9" t="s">
        <v>252</v>
      </c>
      <c r="L67" s="9" t="s">
        <v>584</v>
      </c>
      <c r="M67" s="9" t="s">
        <v>254</v>
      </c>
      <c r="N67" s="9" t="n">
        <v>1</v>
      </c>
      <c r="O67" s="9" t="n">
        <v>1</v>
      </c>
      <c r="P67" s="9" t="str">
        <f aca="false">HYPERLINK("https://www.cqc.org.uk/location/1-3090033271","https://www.cqc.org.uk/location/1-3090033271")</f>
        <v>https://www.cqc.org.uk/location/1-3090033271</v>
      </c>
      <c r="Q67" s="9" t="s">
        <v>585</v>
      </c>
      <c r="R67" s="10" t="n">
        <v>46266</v>
      </c>
      <c r="S67" s="10" t="n">
        <v>46267</v>
      </c>
      <c r="T67" s="10" t="n">
        <v>46273</v>
      </c>
      <c r="U67" s="9" t="n">
        <v>38591</v>
      </c>
    </row>
    <row r="68" customFormat="false" ht="64" hidden="false" customHeight="true" outlineLevel="0" collapsed="false">
      <c r="A68" s="7" t="s">
        <v>586</v>
      </c>
      <c r="B68" s="7" t="s">
        <v>587</v>
      </c>
      <c r="C68" s="7" t="s">
        <v>587</v>
      </c>
      <c r="D68" s="7" t="s">
        <v>588</v>
      </c>
      <c r="E68" s="7" t="s">
        <v>4</v>
      </c>
      <c r="F68" s="7" t="s">
        <v>589</v>
      </c>
      <c r="G68" s="8" t="n">
        <v>44837</v>
      </c>
      <c r="H68" s="7"/>
      <c r="I68" s="8"/>
      <c r="J68" s="7"/>
      <c r="K68" s="7" t="s">
        <v>245</v>
      </c>
      <c r="L68" s="7" t="s">
        <v>590</v>
      </c>
      <c r="M68" s="7" t="s">
        <v>244</v>
      </c>
      <c r="N68" s="7" t="n">
        <v>1</v>
      </c>
      <c r="O68" s="7" t="n">
        <v>1</v>
      </c>
      <c r="P68" s="7" t="str">
        <f aca="false">HYPERLINK("https://www.cqc.org.uk/location/1-13512914975","https://www.cqc.org.uk/location/1-13512914975")</f>
        <v>https://www.cqc.org.uk/location/1-13512914975</v>
      </c>
      <c r="Q68" s="7"/>
      <c r="R68" s="8" t="n">
        <v>46266</v>
      </c>
      <c r="S68" s="8" t="n">
        <v>46267</v>
      </c>
      <c r="T68" s="8" t="n">
        <v>46273</v>
      </c>
      <c r="U68" s="7" t="n">
        <v>11728</v>
      </c>
    </row>
    <row r="69" customFormat="false" ht="64" hidden="false" customHeight="true" outlineLevel="0" collapsed="false">
      <c r="A69" s="9" t="s">
        <v>591</v>
      </c>
      <c r="B69" s="9" t="s">
        <v>592</v>
      </c>
      <c r="C69" s="9" t="s">
        <v>593</v>
      </c>
      <c r="D69" s="9" t="s">
        <v>594</v>
      </c>
      <c r="E69" s="9" t="s">
        <v>4</v>
      </c>
      <c r="F69" s="9" t="s">
        <v>595</v>
      </c>
      <c r="G69" s="10" t="n">
        <v>43700</v>
      </c>
      <c r="H69" s="9"/>
      <c r="I69" s="10"/>
      <c r="J69" s="9"/>
      <c r="K69" s="9" t="s">
        <v>252</v>
      </c>
      <c r="L69" s="9" t="s">
        <v>596</v>
      </c>
      <c r="M69" s="9" t="s">
        <v>254</v>
      </c>
      <c r="N69" s="9" t="n">
        <v>1</v>
      </c>
      <c r="O69" s="9" t="n">
        <v>1</v>
      </c>
      <c r="P69" s="9" t="str">
        <f aca="false">HYPERLINK("https://www.cqc.org.uk/location/1-7383863446","https://www.cqc.org.uk/location/1-7383863446")</f>
        <v>https://www.cqc.org.uk/location/1-7383863446</v>
      </c>
      <c r="Q69" s="9"/>
      <c r="R69" s="10" t="n">
        <v>46266</v>
      </c>
      <c r="S69" s="10" t="n">
        <v>46267</v>
      </c>
      <c r="T69" s="10" t="n">
        <v>46273</v>
      </c>
      <c r="U69" s="9" t="n">
        <v>51548</v>
      </c>
    </row>
    <row r="70" customFormat="false" ht="64" hidden="false" customHeight="true" outlineLevel="0" collapsed="false">
      <c r="A70" s="7" t="s">
        <v>597</v>
      </c>
      <c r="B70" s="7" t="s">
        <v>598</v>
      </c>
      <c r="C70" s="7" t="s">
        <v>599</v>
      </c>
      <c r="D70" s="7" t="s">
        <v>600</v>
      </c>
      <c r="E70" s="7" t="s">
        <v>4</v>
      </c>
      <c r="F70" s="7" t="s">
        <v>601</v>
      </c>
      <c r="G70" s="8" t="n">
        <v>41820</v>
      </c>
      <c r="H70" s="7" t="s">
        <v>243</v>
      </c>
      <c r="I70" s="8" t="n">
        <v>45685</v>
      </c>
      <c r="J70" s="7" t="s">
        <v>244</v>
      </c>
      <c r="K70" s="7" t="s">
        <v>245</v>
      </c>
      <c r="L70" s="7" t="s">
        <v>543</v>
      </c>
      <c r="M70" s="7" t="s">
        <v>244</v>
      </c>
      <c r="N70" s="7" t="n">
        <v>1</v>
      </c>
      <c r="O70" s="7" t="n">
        <v>1</v>
      </c>
      <c r="P70" s="7" t="str">
        <f aca="false">HYPERLINK("https://www.cqc.org.uk/location/1-1495882805","https://www.cqc.org.uk/location/1-1495882805")</f>
        <v>https://www.cqc.org.uk/location/1-1495882805</v>
      </c>
      <c r="Q70" s="7"/>
      <c r="R70" s="8" t="n">
        <v>46266</v>
      </c>
      <c r="S70" s="8" t="n">
        <v>46267</v>
      </c>
      <c r="T70" s="8" t="n">
        <v>46273</v>
      </c>
      <c r="U70" s="7" t="n">
        <v>15118</v>
      </c>
    </row>
    <row r="71" customFormat="false" ht="64" hidden="false" customHeight="true" outlineLevel="0" collapsed="false">
      <c r="A71" s="9" t="s">
        <v>602</v>
      </c>
      <c r="B71" s="9" t="s">
        <v>603</v>
      </c>
      <c r="C71" s="9" t="s">
        <v>604</v>
      </c>
      <c r="D71" s="9" t="s">
        <v>605</v>
      </c>
      <c r="E71" s="9" t="s">
        <v>4</v>
      </c>
      <c r="F71" s="9" t="s">
        <v>606</v>
      </c>
      <c r="G71" s="10" t="n">
        <v>41012</v>
      </c>
      <c r="H71" s="9" t="s">
        <v>268</v>
      </c>
      <c r="I71" s="10" t="n">
        <v>43568</v>
      </c>
      <c r="J71" s="9" t="s">
        <v>244</v>
      </c>
      <c r="K71" s="9" t="s">
        <v>245</v>
      </c>
      <c r="L71" s="9" t="s">
        <v>344</v>
      </c>
      <c r="M71" s="9" t="s">
        <v>244</v>
      </c>
      <c r="N71" s="9" t="n">
        <v>2</v>
      </c>
      <c r="O71" s="9" t="n">
        <v>1</v>
      </c>
      <c r="P71" s="9" t="str">
        <f aca="false">HYPERLINK("https://www.cqc.org.uk/location/1-409194469","https://www.cqc.org.uk/location/1-409194469")</f>
        <v>https://www.cqc.org.uk/location/1-409194469</v>
      </c>
      <c r="Q71" s="9" t="s">
        <v>607</v>
      </c>
      <c r="R71" s="10" t="n">
        <v>46266</v>
      </c>
      <c r="S71" s="10" t="n">
        <v>46267</v>
      </c>
      <c r="T71" s="10" t="n">
        <v>46273</v>
      </c>
      <c r="U71" s="9" t="n">
        <v>41030</v>
      </c>
    </row>
    <row r="72" customFormat="false" ht="64" hidden="false" customHeight="true" outlineLevel="0" collapsed="false">
      <c r="A72" s="7" t="s">
        <v>608</v>
      </c>
      <c r="B72" s="7" t="s">
        <v>609</v>
      </c>
      <c r="C72" s="7" t="s">
        <v>610</v>
      </c>
      <c r="D72" s="7" t="s">
        <v>611</v>
      </c>
      <c r="E72" s="7" t="s">
        <v>4</v>
      </c>
      <c r="F72" s="7" t="s">
        <v>426</v>
      </c>
      <c r="G72" s="8" t="n">
        <v>44798</v>
      </c>
      <c r="H72" s="7"/>
      <c r="I72" s="8"/>
      <c r="J72" s="7"/>
      <c r="K72" s="7" t="s">
        <v>252</v>
      </c>
      <c r="L72" s="7" t="s">
        <v>261</v>
      </c>
      <c r="M72" s="7" t="s">
        <v>254</v>
      </c>
      <c r="N72" s="7" t="n">
        <v>1</v>
      </c>
      <c r="O72" s="7" t="n">
        <v>1</v>
      </c>
      <c r="P72" s="7" t="str">
        <f aca="false">HYPERLINK("https://www.cqc.org.uk/location/1-13814354371","https://www.cqc.org.uk/location/1-13814354371")</f>
        <v>https://www.cqc.org.uk/location/1-13814354371</v>
      </c>
      <c r="Q72" s="7" t="s">
        <v>612</v>
      </c>
      <c r="R72" s="8" t="n">
        <v>46266</v>
      </c>
      <c r="S72" s="8" t="n">
        <v>46267</v>
      </c>
      <c r="T72" s="8" t="n">
        <v>46273</v>
      </c>
      <c r="U72" s="7" t="n">
        <v>12523</v>
      </c>
    </row>
    <row r="73" customFormat="false" ht="64" hidden="false" customHeight="true" outlineLevel="0" collapsed="false">
      <c r="A73" s="9" t="s">
        <v>613</v>
      </c>
      <c r="B73" s="9" t="s">
        <v>614</v>
      </c>
      <c r="C73" s="9" t="s">
        <v>614</v>
      </c>
      <c r="D73" s="9" t="s">
        <v>615</v>
      </c>
      <c r="E73" s="9" t="s">
        <v>4</v>
      </c>
      <c r="F73" s="9" t="s">
        <v>616</v>
      </c>
      <c r="G73" s="10" t="n">
        <v>45309</v>
      </c>
      <c r="H73" s="9"/>
      <c r="I73" s="10"/>
      <c r="J73" s="9"/>
      <c r="K73" s="9" t="s">
        <v>245</v>
      </c>
      <c r="L73" s="9" t="s">
        <v>289</v>
      </c>
      <c r="M73" s="9" t="s">
        <v>244</v>
      </c>
      <c r="N73" s="9" t="n">
        <v>1</v>
      </c>
      <c r="O73" s="9" t="n">
        <v>1</v>
      </c>
      <c r="P73" s="9" t="str">
        <f aca="false">HYPERLINK("https://www.cqc.org.uk/location/1-18386788641","https://www.cqc.org.uk/location/1-18386788641")</f>
        <v>https://www.cqc.org.uk/location/1-18386788641</v>
      </c>
      <c r="Q73" s="9" t="s">
        <v>617</v>
      </c>
      <c r="R73" s="10" t="n">
        <v>46266</v>
      </c>
      <c r="S73" s="10" t="n">
        <v>46267</v>
      </c>
      <c r="T73" s="10" t="n">
        <v>46273</v>
      </c>
      <c r="U73" s="9" t="n">
        <v>19872</v>
      </c>
    </row>
    <row r="74" customFormat="false" ht="64" hidden="false" customHeight="true" outlineLevel="0" collapsed="false">
      <c r="A74" s="7" t="s">
        <v>618</v>
      </c>
      <c r="B74" s="7" t="s">
        <v>619</v>
      </c>
      <c r="C74" s="7" t="s">
        <v>620</v>
      </c>
      <c r="D74" s="7" t="s">
        <v>621</v>
      </c>
      <c r="E74" s="7" t="s">
        <v>4</v>
      </c>
      <c r="F74" s="7" t="s">
        <v>426</v>
      </c>
      <c r="G74" s="8" t="n">
        <v>42446</v>
      </c>
      <c r="H74" s="7" t="s">
        <v>268</v>
      </c>
      <c r="I74" s="8" t="n">
        <v>46204</v>
      </c>
      <c r="J74" s="7" t="s">
        <v>244</v>
      </c>
      <c r="K74" s="7" t="s">
        <v>245</v>
      </c>
      <c r="L74" s="7" t="s">
        <v>386</v>
      </c>
      <c r="M74" s="7" t="s">
        <v>244</v>
      </c>
      <c r="N74" s="7" t="n">
        <v>4</v>
      </c>
      <c r="O74" s="7" t="n">
        <v>1</v>
      </c>
      <c r="P74" s="7" t="str">
        <f aca="false">HYPERLINK("https://www.cqc.org.uk/location/1-2427112311","https://www.cqc.org.uk/location/1-2427112311")</f>
        <v>https://www.cqc.org.uk/location/1-2427112311</v>
      </c>
      <c r="Q74" s="7" t="s">
        <v>622</v>
      </c>
      <c r="R74" s="8" t="n">
        <v>46266</v>
      </c>
      <c r="S74" s="8" t="n">
        <v>46267</v>
      </c>
      <c r="T74" s="8" t="n">
        <v>46273</v>
      </c>
      <c r="U74" s="7" t="n">
        <v>31958</v>
      </c>
    </row>
    <row r="75" customFormat="false" ht="64" hidden="false" customHeight="true" outlineLevel="0" collapsed="false">
      <c r="A75" s="9" t="s">
        <v>623</v>
      </c>
      <c r="B75" s="9" t="s">
        <v>624</v>
      </c>
      <c r="C75" s="9" t="s">
        <v>625</v>
      </c>
      <c r="D75" s="9" t="s">
        <v>626</v>
      </c>
      <c r="E75" s="9" t="s">
        <v>4</v>
      </c>
      <c r="F75" s="9" t="s">
        <v>627</v>
      </c>
      <c r="G75" s="10" t="n">
        <v>45867</v>
      </c>
      <c r="H75" s="9" t="s">
        <v>268</v>
      </c>
      <c r="I75" s="10" t="n">
        <v>43396</v>
      </c>
      <c r="J75" s="9" t="s">
        <v>254</v>
      </c>
      <c r="K75" s="9" t="s">
        <v>628</v>
      </c>
      <c r="L75" s="9" t="s">
        <v>280</v>
      </c>
      <c r="M75" s="9" t="s">
        <v>244</v>
      </c>
      <c r="N75" s="9" t="n">
        <v>1</v>
      </c>
      <c r="O75" s="9" t="n">
        <v>1</v>
      </c>
      <c r="P75" s="9" t="str">
        <f aca="false">HYPERLINK("https://www.cqc.org.uk/location/1-23236585428","https://www.cqc.org.uk/location/1-23236585428")</f>
        <v>https://www.cqc.org.uk/location/1-23236585428</v>
      </c>
      <c r="Q75" s="9"/>
      <c r="R75" s="10" t="n">
        <v>46266</v>
      </c>
      <c r="S75" s="10" t="n">
        <v>46267</v>
      </c>
      <c r="T75" s="10" t="n">
        <v>46273</v>
      </c>
      <c r="U75" s="9" t="n">
        <v>30599</v>
      </c>
    </row>
    <row r="76" customFormat="false" ht="64" hidden="false" customHeight="true" outlineLevel="0" collapsed="false">
      <c r="A76" s="7" t="s">
        <v>629</v>
      </c>
      <c r="B76" s="7" t="s">
        <v>630</v>
      </c>
      <c r="C76" s="7" t="s">
        <v>631</v>
      </c>
      <c r="D76" s="7" t="s">
        <v>632</v>
      </c>
      <c r="E76" s="7" t="s">
        <v>4</v>
      </c>
      <c r="F76" s="7" t="s">
        <v>633</v>
      </c>
      <c r="G76" s="8" t="n">
        <v>44901</v>
      </c>
      <c r="H76" s="7"/>
      <c r="I76" s="8"/>
      <c r="J76" s="7"/>
      <c r="K76" s="7" t="s">
        <v>245</v>
      </c>
      <c r="L76" s="7" t="s">
        <v>634</v>
      </c>
      <c r="M76" s="7" t="s">
        <v>244</v>
      </c>
      <c r="N76" s="7" t="n">
        <v>1</v>
      </c>
      <c r="O76" s="7" t="n">
        <v>1</v>
      </c>
      <c r="P76" s="7" t="str">
        <f aca="false">HYPERLINK("https://www.cqc.org.uk/location/1-14518917943","https://www.cqc.org.uk/location/1-14518917943")</f>
        <v>https://www.cqc.org.uk/location/1-14518917943</v>
      </c>
      <c r="Q76" s="7" t="s">
        <v>635</v>
      </c>
      <c r="R76" s="8" t="n">
        <v>46266</v>
      </c>
      <c r="S76" s="8" t="n">
        <v>46267</v>
      </c>
      <c r="T76" s="8" t="n">
        <v>46273</v>
      </c>
      <c r="U76" s="7" t="n">
        <v>14213</v>
      </c>
    </row>
    <row r="77" customFormat="false" ht="64" hidden="false" customHeight="true" outlineLevel="0" collapsed="false">
      <c r="A77" s="9" t="s">
        <v>636</v>
      </c>
      <c r="B77" s="9" t="s">
        <v>637</v>
      </c>
      <c r="C77" s="9" t="s">
        <v>638</v>
      </c>
      <c r="D77" s="9" t="s">
        <v>639</v>
      </c>
      <c r="E77" s="9" t="s">
        <v>4</v>
      </c>
      <c r="F77" s="9" t="s">
        <v>640</v>
      </c>
      <c r="G77" s="10" t="n">
        <v>42073</v>
      </c>
      <c r="H77" s="9" t="s">
        <v>268</v>
      </c>
      <c r="I77" s="10" t="n">
        <v>43501</v>
      </c>
      <c r="J77" s="9" t="s">
        <v>244</v>
      </c>
      <c r="K77" s="9" t="s">
        <v>245</v>
      </c>
      <c r="L77" s="9" t="s">
        <v>641</v>
      </c>
      <c r="M77" s="9" t="s">
        <v>244</v>
      </c>
      <c r="N77" s="9" t="n">
        <v>1</v>
      </c>
      <c r="O77" s="9" t="n">
        <v>1</v>
      </c>
      <c r="P77" s="9" t="str">
        <f aca="false">HYPERLINK("https://www.cqc.org.uk/location/1-1973151376","https://www.cqc.org.uk/location/1-1973151376")</f>
        <v>https://www.cqc.org.uk/location/1-1973151376</v>
      </c>
      <c r="Q77" s="9" t="s">
        <v>642</v>
      </c>
      <c r="R77" s="10" t="n">
        <v>46266</v>
      </c>
      <c r="S77" s="10" t="n">
        <v>46267</v>
      </c>
      <c r="T77" s="10" t="n">
        <v>46273</v>
      </c>
      <c r="U77" s="9" t="n">
        <v>23409</v>
      </c>
    </row>
    <row r="78" customFormat="false" ht="64" hidden="false" customHeight="true" outlineLevel="0" collapsed="false">
      <c r="A78" s="7" t="s">
        <v>643</v>
      </c>
      <c r="B78" s="7" t="s">
        <v>644</v>
      </c>
      <c r="C78" s="7" t="s">
        <v>645</v>
      </c>
      <c r="D78" s="7" t="s">
        <v>646</v>
      </c>
      <c r="E78" s="7" t="s">
        <v>4</v>
      </c>
      <c r="F78" s="7" t="s">
        <v>647</v>
      </c>
      <c r="G78" s="8" t="n">
        <v>45069</v>
      </c>
      <c r="H78" s="7"/>
      <c r="I78" s="8"/>
      <c r="J78" s="7"/>
      <c r="K78" s="7" t="s">
        <v>252</v>
      </c>
      <c r="L78" s="7" t="s">
        <v>269</v>
      </c>
      <c r="M78" s="7" t="s">
        <v>254</v>
      </c>
      <c r="N78" s="7" t="n">
        <v>1</v>
      </c>
      <c r="O78" s="7" t="n">
        <v>1</v>
      </c>
      <c r="P78" s="7" t="str">
        <f aca="false">HYPERLINK("https://www.cqc.org.uk/location/1-15303501099","https://www.cqc.org.uk/location/1-15303501099")</f>
        <v>https://www.cqc.org.uk/location/1-15303501099</v>
      </c>
      <c r="Q78" s="7" t="s">
        <v>648</v>
      </c>
      <c r="R78" s="8" t="n">
        <v>46266</v>
      </c>
      <c r="S78" s="8" t="n">
        <v>46267</v>
      </c>
      <c r="T78" s="8" t="n">
        <v>46273</v>
      </c>
      <c r="U78" s="7" t="n">
        <v>15901</v>
      </c>
    </row>
    <row r="79" customFormat="false" ht="64" hidden="false" customHeight="true" outlineLevel="0" collapsed="false">
      <c r="A79" s="9" t="s">
        <v>185</v>
      </c>
      <c r="B79" s="9" t="s">
        <v>180</v>
      </c>
      <c r="C79" s="9" t="s">
        <v>180</v>
      </c>
      <c r="D79" s="9" t="s">
        <v>184</v>
      </c>
      <c r="E79" s="9" t="s">
        <v>4</v>
      </c>
      <c r="F79" s="9" t="s">
        <v>649</v>
      </c>
      <c r="G79" s="10" t="n">
        <v>46079</v>
      </c>
      <c r="H79" s="9"/>
      <c r="I79" s="10"/>
      <c r="J79" s="9"/>
      <c r="K79" s="9" t="s">
        <v>252</v>
      </c>
      <c r="L79" s="9" t="s">
        <v>320</v>
      </c>
      <c r="M79" s="9" t="s">
        <v>254</v>
      </c>
      <c r="N79" s="9" t="n">
        <v>1</v>
      </c>
      <c r="O79" s="9" t="n">
        <v>1</v>
      </c>
      <c r="P79" s="9" t="str">
        <f aca="false">HYPERLINK("https://www.cqc.org.uk/location/1-27000963245","https://www.cqc.org.uk/location/1-27000963245")</f>
        <v>https://www.cqc.org.uk/location/1-27000963245</v>
      </c>
      <c r="Q79" s="9" t="s">
        <v>650</v>
      </c>
      <c r="R79" s="10" t="n">
        <v>46266</v>
      </c>
      <c r="S79" s="10" t="n">
        <v>46267</v>
      </c>
      <c r="T79" s="10" t="n">
        <v>46273</v>
      </c>
      <c r="U79" s="9" t="n">
        <v>35470</v>
      </c>
    </row>
    <row r="80" customFormat="false" ht="64" hidden="false" customHeight="true" outlineLevel="0" collapsed="false">
      <c r="A80" s="7" t="s">
        <v>651</v>
      </c>
      <c r="B80" s="7" t="s">
        <v>652</v>
      </c>
      <c r="C80" s="7" t="s">
        <v>653</v>
      </c>
      <c r="D80" s="7" t="s">
        <v>654</v>
      </c>
      <c r="E80" s="7" t="s">
        <v>4</v>
      </c>
      <c r="F80" s="7" t="s">
        <v>426</v>
      </c>
      <c r="G80" s="8" t="n">
        <v>43518</v>
      </c>
      <c r="H80" s="7" t="s">
        <v>268</v>
      </c>
      <c r="I80" s="8" t="n">
        <v>43897</v>
      </c>
      <c r="J80" s="7" t="s">
        <v>244</v>
      </c>
      <c r="K80" s="7" t="s">
        <v>252</v>
      </c>
      <c r="L80" s="7" t="s">
        <v>315</v>
      </c>
      <c r="M80" s="7" t="s">
        <v>254</v>
      </c>
      <c r="N80" s="7" t="n">
        <v>1</v>
      </c>
      <c r="O80" s="7" t="n">
        <v>1</v>
      </c>
      <c r="P80" s="7" t="str">
        <f aca="false">HYPERLINK("https://www.cqc.org.uk/location/1-6049488886","https://www.cqc.org.uk/location/1-6049488886")</f>
        <v>https://www.cqc.org.uk/location/1-6049488886</v>
      </c>
      <c r="Q80" s="7"/>
      <c r="R80" s="8" t="n">
        <v>46266</v>
      </c>
      <c r="S80" s="8" t="n">
        <v>46267</v>
      </c>
      <c r="T80" s="8" t="n">
        <v>46273</v>
      </c>
      <c r="U80" s="7" t="n">
        <v>49206</v>
      </c>
    </row>
    <row r="81" customFormat="false" ht="64" hidden="false" customHeight="true" outlineLevel="0" collapsed="false">
      <c r="A81" s="9" t="s">
        <v>655</v>
      </c>
      <c r="B81" s="9" t="s">
        <v>656</v>
      </c>
      <c r="C81" s="9" t="s">
        <v>656</v>
      </c>
      <c r="D81" s="9" t="s">
        <v>657</v>
      </c>
      <c r="E81" s="9" t="s">
        <v>4</v>
      </c>
      <c r="F81" s="9" t="s">
        <v>426</v>
      </c>
      <c r="G81" s="10" t="n">
        <v>45783</v>
      </c>
      <c r="H81" s="9"/>
      <c r="I81" s="10"/>
      <c r="J81" s="9"/>
      <c r="K81" s="9" t="s">
        <v>245</v>
      </c>
      <c r="L81" s="9" t="s">
        <v>280</v>
      </c>
      <c r="M81" s="9" t="s">
        <v>244</v>
      </c>
      <c r="N81" s="9" t="n">
        <v>1</v>
      </c>
      <c r="O81" s="9" t="n">
        <v>1</v>
      </c>
      <c r="P81" s="9" t="str">
        <f aca="false">HYPERLINK("https://www.cqc.org.uk/location/1-23037174785","https://www.cqc.org.uk/location/1-23037174785")</f>
        <v>https://www.cqc.org.uk/location/1-23037174785</v>
      </c>
      <c r="Q81" s="9" t="s">
        <v>658</v>
      </c>
      <c r="R81" s="10" t="n">
        <v>46266</v>
      </c>
      <c r="S81" s="10" t="n">
        <v>46267</v>
      </c>
      <c r="T81" s="10" t="n">
        <v>46273</v>
      </c>
      <c r="U81" s="9" t="n">
        <v>30316</v>
      </c>
    </row>
    <row r="82" customFormat="false" ht="64" hidden="false" customHeight="true" outlineLevel="0" collapsed="false">
      <c r="A82" s="7" t="s">
        <v>659</v>
      </c>
      <c r="B82" s="7" t="s">
        <v>660</v>
      </c>
      <c r="C82" s="7" t="s">
        <v>660</v>
      </c>
      <c r="D82" s="7" t="s">
        <v>661</v>
      </c>
      <c r="E82" s="7" t="s">
        <v>4</v>
      </c>
      <c r="F82" s="7" t="s">
        <v>662</v>
      </c>
      <c r="G82" s="8" t="n">
        <v>44698</v>
      </c>
      <c r="H82" s="7" t="s">
        <v>260</v>
      </c>
      <c r="I82" s="8"/>
      <c r="J82" s="7" t="s">
        <v>244</v>
      </c>
      <c r="K82" s="7" t="s">
        <v>252</v>
      </c>
      <c r="L82" s="7" t="s">
        <v>357</v>
      </c>
      <c r="M82" s="7" t="s">
        <v>254</v>
      </c>
      <c r="N82" s="7" t="n">
        <v>1</v>
      </c>
      <c r="O82" s="7" t="n">
        <v>1</v>
      </c>
      <c r="P82" s="7" t="str">
        <f aca="false">HYPERLINK("https://www.cqc.org.uk/location/1-11506491838","https://www.cqc.org.uk/location/1-11506491838")</f>
        <v>https://www.cqc.org.uk/location/1-11506491838</v>
      </c>
      <c r="Q82" s="7" t="s">
        <v>663</v>
      </c>
      <c r="R82" s="8" t="n">
        <v>46266</v>
      </c>
      <c r="S82" s="8" t="n">
        <v>46267</v>
      </c>
      <c r="T82" s="8" t="n">
        <v>46273</v>
      </c>
      <c r="U82" s="7" t="n">
        <v>3550</v>
      </c>
    </row>
    <row r="83" customFormat="false" ht="64" hidden="false" customHeight="true" outlineLevel="0" collapsed="false">
      <c r="A83" s="9" t="s">
        <v>664</v>
      </c>
      <c r="B83" s="9" t="s">
        <v>665</v>
      </c>
      <c r="C83" s="9" t="s">
        <v>666</v>
      </c>
      <c r="D83" s="9" t="s">
        <v>667</v>
      </c>
      <c r="E83" s="9" t="s">
        <v>4</v>
      </c>
      <c r="F83" s="9" t="s">
        <v>668</v>
      </c>
      <c r="G83" s="10" t="n">
        <v>41178</v>
      </c>
      <c r="H83" s="9" t="s">
        <v>268</v>
      </c>
      <c r="I83" s="10" t="n">
        <v>44685</v>
      </c>
      <c r="J83" s="9" t="s">
        <v>244</v>
      </c>
      <c r="K83" s="9" t="s">
        <v>252</v>
      </c>
      <c r="L83" s="9" t="s">
        <v>261</v>
      </c>
      <c r="M83" s="9" t="s">
        <v>254</v>
      </c>
      <c r="N83" s="9" t="n">
        <v>1</v>
      </c>
      <c r="O83" s="9" t="n">
        <v>1</v>
      </c>
      <c r="P83" s="9" t="str">
        <f aca="false">HYPERLINK("https://www.cqc.org.uk/location/1-450245368","https://www.cqc.org.uk/location/1-450245368")</f>
        <v>https://www.cqc.org.uk/location/1-450245368</v>
      </c>
      <c r="Q83" s="9"/>
      <c r="R83" s="10" t="n">
        <v>46266</v>
      </c>
      <c r="S83" s="10" t="n">
        <v>46267</v>
      </c>
      <c r="T83" s="10" t="n">
        <v>46273</v>
      </c>
      <c r="U83" s="9" t="n">
        <v>42119</v>
      </c>
    </row>
    <row r="84" customFormat="false" ht="64" hidden="false" customHeight="true" outlineLevel="0" collapsed="false">
      <c r="A84" s="7" t="s">
        <v>669</v>
      </c>
      <c r="B84" s="7" t="s">
        <v>670</v>
      </c>
      <c r="C84" s="7" t="s">
        <v>671</v>
      </c>
      <c r="D84" s="7" t="s">
        <v>672</v>
      </c>
      <c r="E84" s="7" t="s">
        <v>4</v>
      </c>
      <c r="F84" s="7" t="s">
        <v>673</v>
      </c>
      <c r="G84" s="8" t="n">
        <v>40897</v>
      </c>
      <c r="H84" s="7" t="s">
        <v>268</v>
      </c>
      <c r="I84" s="8" t="n">
        <v>43610</v>
      </c>
      <c r="J84" s="7" t="s">
        <v>244</v>
      </c>
      <c r="K84" s="7" t="s">
        <v>252</v>
      </c>
      <c r="L84" s="7" t="s">
        <v>674</v>
      </c>
      <c r="M84" s="7" t="s">
        <v>254</v>
      </c>
      <c r="N84" s="7" t="n">
        <v>1</v>
      </c>
      <c r="O84" s="7" t="n">
        <v>1</v>
      </c>
      <c r="P84" s="7" t="str">
        <f aca="false">HYPERLINK("https://www.cqc.org.uk/location/1-350438194","https://www.cqc.org.uk/location/1-350438194")</f>
        <v>https://www.cqc.org.uk/location/1-350438194</v>
      </c>
      <c r="Q84" s="7" t="s">
        <v>675</v>
      </c>
      <c r="R84" s="8" t="n">
        <v>46266</v>
      </c>
      <c r="S84" s="8" t="n">
        <v>46267</v>
      </c>
      <c r="T84" s="8" t="n">
        <v>46273</v>
      </c>
      <c r="U84" s="7" t="n">
        <v>39544</v>
      </c>
    </row>
    <row r="85" customFormat="false" ht="64" hidden="false" customHeight="true" outlineLevel="0" collapsed="false">
      <c r="A85" s="9" t="s">
        <v>676</v>
      </c>
      <c r="B85" s="9" t="s">
        <v>677</v>
      </c>
      <c r="C85" s="9" t="s">
        <v>678</v>
      </c>
      <c r="D85" s="9" t="s">
        <v>679</v>
      </c>
      <c r="E85" s="9" t="s">
        <v>4</v>
      </c>
      <c r="F85" s="9" t="s">
        <v>680</v>
      </c>
      <c r="G85" s="10" t="n">
        <v>42342</v>
      </c>
      <c r="H85" s="9" t="s">
        <v>260</v>
      </c>
      <c r="I85" s="10"/>
      <c r="J85" s="9" t="s">
        <v>244</v>
      </c>
      <c r="K85" s="9" t="s">
        <v>681</v>
      </c>
      <c r="L85" s="9" t="s">
        <v>451</v>
      </c>
      <c r="M85" s="9" t="s">
        <v>254</v>
      </c>
      <c r="N85" s="9" t="n">
        <v>1</v>
      </c>
      <c r="O85" s="9" t="n">
        <v>1</v>
      </c>
      <c r="P85" s="9" t="str">
        <f aca="false">HYPERLINK("https://www.cqc.org.uk/location/1-2300927102","https://www.cqc.org.uk/location/1-2300927102")</f>
        <v>https://www.cqc.org.uk/location/1-2300927102</v>
      </c>
      <c r="Q85" s="9" t="s">
        <v>682</v>
      </c>
      <c r="R85" s="10" t="n">
        <v>46266</v>
      </c>
      <c r="S85" s="10" t="n">
        <v>46267</v>
      </c>
      <c r="T85" s="10" t="n">
        <v>46273</v>
      </c>
      <c r="U85" s="9" t="n">
        <v>30268</v>
      </c>
    </row>
    <row r="86" customFormat="false" ht="64" hidden="false" customHeight="true" outlineLevel="0" collapsed="false">
      <c r="A86" s="7" t="s">
        <v>683</v>
      </c>
      <c r="B86" s="7" t="s">
        <v>684</v>
      </c>
      <c r="C86" s="7" t="s">
        <v>685</v>
      </c>
      <c r="D86" s="7" t="s">
        <v>686</v>
      </c>
      <c r="E86" s="7" t="s">
        <v>4</v>
      </c>
      <c r="F86" s="7" t="s">
        <v>687</v>
      </c>
      <c r="G86" s="8" t="n">
        <v>44879</v>
      </c>
      <c r="H86" s="7"/>
      <c r="I86" s="8"/>
      <c r="J86" s="7"/>
      <c r="K86" s="7" t="s">
        <v>245</v>
      </c>
      <c r="L86" s="7" t="s">
        <v>464</v>
      </c>
      <c r="M86" s="7" t="s">
        <v>244</v>
      </c>
      <c r="N86" s="7" t="n">
        <v>2</v>
      </c>
      <c r="O86" s="7" t="n">
        <v>1</v>
      </c>
      <c r="P86" s="7" t="str">
        <f aca="false">HYPERLINK("https://www.cqc.org.uk/location/1-14373841975","https://www.cqc.org.uk/location/1-14373841975")</f>
        <v>https://www.cqc.org.uk/location/1-14373841975</v>
      </c>
      <c r="Q86" s="7" t="s">
        <v>688</v>
      </c>
      <c r="R86" s="8" t="n">
        <v>46266</v>
      </c>
      <c r="S86" s="8" t="n">
        <v>46267</v>
      </c>
      <c r="T86" s="8" t="n">
        <v>46273</v>
      </c>
      <c r="U86" s="7" t="n">
        <v>13880</v>
      </c>
    </row>
    <row r="87" customFormat="false" ht="64" hidden="false" customHeight="true" outlineLevel="0" collapsed="false">
      <c r="A87" s="9" t="s">
        <v>689</v>
      </c>
      <c r="B87" s="9" t="s">
        <v>690</v>
      </c>
      <c r="C87" s="9" t="s">
        <v>691</v>
      </c>
      <c r="D87" s="9" t="s">
        <v>692</v>
      </c>
      <c r="E87" s="9" t="s">
        <v>4</v>
      </c>
      <c r="F87" s="9" t="s">
        <v>633</v>
      </c>
      <c r="G87" s="10" t="n">
        <v>41786</v>
      </c>
      <c r="H87" s="9" t="s">
        <v>260</v>
      </c>
      <c r="I87" s="10"/>
      <c r="J87" s="9" t="s">
        <v>244</v>
      </c>
      <c r="K87" s="9" t="s">
        <v>252</v>
      </c>
      <c r="L87" s="9" t="s">
        <v>451</v>
      </c>
      <c r="M87" s="9" t="s">
        <v>254</v>
      </c>
      <c r="N87" s="9" t="n">
        <v>2</v>
      </c>
      <c r="O87" s="9" t="n">
        <v>1</v>
      </c>
      <c r="P87" s="9" t="str">
        <f aca="false">HYPERLINK("https://www.cqc.org.uk/location/1-1428451467","https://www.cqc.org.uk/location/1-1428451467")</f>
        <v>https://www.cqc.org.uk/location/1-1428451467</v>
      </c>
      <c r="Q87" s="9" t="s">
        <v>693</v>
      </c>
      <c r="R87" s="10" t="n">
        <v>46266</v>
      </c>
      <c r="S87" s="10" t="n">
        <v>46267</v>
      </c>
      <c r="T87" s="10" t="n">
        <v>46273</v>
      </c>
      <c r="U87" s="9" t="n">
        <v>13663</v>
      </c>
    </row>
    <row r="88" customFormat="false" ht="64" hidden="false" customHeight="true" outlineLevel="0" collapsed="false">
      <c r="A88" s="7" t="s">
        <v>694</v>
      </c>
      <c r="B88" s="7" t="s">
        <v>695</v>
      </c>
      <c r="C88" s="7" t="s">
        <v>695</v>
      </c>
      <c r="D88" s="7" t="s">
        <v>696</v>
      </c>
      <c r="E88" s="7" t="s">
        <v>4</v>
      </c>
      <c r="F88" s="7" t="s">
        <v>697</v>
      </c>
      <c r="G88" s="8" t="n">
        <v>43630</v>
      </c>
      <c r="H88" s="7" t="s">
        <v>268</v>
      </c>
      <c r="I88" s="8" t="n">
        <v>44513</v>
      </c>
      <c r="J88" s="7" t="s">
        <v>244</v>
      </c>
      <c r="K88" s="7" t="s">
        <v>245</v>
      </c>
      <c r="L88" s="7" t="s">
        <v>451</v>
      </c>
      <c r="M88" s="7" t="s">
        <v>244</v>
      </c>
      <c r="N88" s="7" t="n">
        <v>1</v>
      </c>
      <c r="O88" s="7" t="n">
        <v>1</v>
      </c>
      <c r="P88" s="7" t="str">
        <f aca="false">HYPERLINK("https://www.cqc.org.uk/location/1-6842859284","https://www.cqc.org.uk/location/1-6842859284")</f>
        <v>https://www.cqc.org.uk/location/1-6842859284</v>
      </c>
      <c r="Q88" s="7" t="s">
        <v>698</v>
      </c>
      <c r="R88" s="8" t="n">
        <v>46266</v>
      </c>
      <c r="S88" s="8" t="n">
        <v>46267</v>
      </c>
      <c r="T88" s="8" t="n">
        <v>46273</v>
      </c>
      <c r="U88" s="7" t="n">
        <v>50688</v>
      </c>
    </row>
    <row r="89" customFormat="false" ht="64" hidden="false" customHeight="true" outlineLevel="0" collapsed="false">
      <c r="A89" s="9" t="s">
        <v>699</v>
      </c>
      <c r="B89" s="9" t="s">
        <v>700</v>
      </c>
      <c r="C89" s="9" t="s">
        <v>700</v>
      </c>
      <c r="D89" s="9" t="s">
        <v>701</v>
      </c>
      <c r="E89" s="9" t="s">
        <v>4</v>
      </c>
      <c r="F89" s="9" t="s">
        <v>279</v>
      </c>
      <c r="G89" s="10" t="n">
        <v>42845</v>
      </c>
      <c r="H89" s="9" t="s">
        <v>260</v>
      </c>
      <c r="I89" s="10"/>
      <c r="J89" s="9" t="s">
        <v>244</v>
      </c>
      <c r="K89" s="9" t="s">
        <v>252</v>
      </c>
      <c r="L89" s="9" t="s">
        <v>451</v>
      </c>
      <c r="M89" s="9" t="s">
        <v>254</v>
      </c>
      <c r="N89" s="9" t="n">
        <v>1</v>
      </c>
      <c r="O89" s="9" t="n">
        <v>1</v>
      </c>
      <c r="P89" s="9" t="str">
        <f aca="false">HYPERLINK("https://www.cqc.org.uk/location/1-3727554964","https://www.cqc.org.uk/location/1-3727554964")</f>
        <v>https://www.cqc.org.uk/location/1-3727554964</v>
      </c>
      <c r="Q89" s="9" t="s">
        <v>702</v>
      </c>
      <c r="R89" s="10" t="n">
        <v>46266</v>
      </c>
      <c r="S89" s="10" t="n">
        <v>46267</v>
      </c>
      <c r="T89" s="10" t="n">
        <v>46273</v>
      </c>
      <c r="U89" s="9" t="n">
        <v>40161</v>
      </c>
    </row>
    <row r="90" customFormat="false" ht="64" hidden="false" customHeight="true" outlineLevel="0" collapsed="false">
      <c r="A90" s="7" t="s">
        <v>703</v>
      </c>
      <c r="B90" s="7" t="s">
        <v>704</v>
      </c>
      <c r="C90" s="7" t="s">
        <v>704</v>
      </c>
      <c r="D90" s="7" t="s">
        <v>705</v>
      </c>
      <c r="E90" s="7" t="s">
        <v>4</v>
      </c>
      <c r="F90" s="7" t="s">
        <v>706</v>
      </c>
      <c r="G90" s="8" t="n">
        <v>42591</v>
      </c>
      <c r="H90" s="7" t="s">
        <v>268</v>
      </c>
      <c r="I90" s="8" t="n">
        <v>43614</v>
      </c>
      <c r="J90" s="7" t="s">
        <v>244</v>
      </c>
      <c r="K90" s="7" t="s">
        <v>245</v>
      </c>
      <c r="L90" s="7" t="s">
        <v>464</v>
      </c>
      <c r="M90" s="7" t="s">
        <v>244</v>
      </c>
      <c r="N90" s="7" t="n">
        <v>1</v>
      </c>
      <c r="O90" s="7" t="n">
        <v>1</v>
      </c>
      <c r="P90" s="7" t="str">
        <f aca="false">HYPERLINK("https://www.cqc.org.uk/location/1-2695980058","https://www.cqc.org.uk/location/1-2695980058")</f>
        <v>https://www.cqc.org.uk/location/1-2695980058</v>
      </c>
      <c r="Q90" s="7"/>
      <c r="R90" s="8" t="n">
        <v>46266</v>
      </c>
      <c r="S90" s="8" t="n">
        <v>46267</v>
      </c>
      <c r="T90" s="8" t="n">
        <v>46273</v>
      </c>
      <c r="U90" s="7" t="n">
        <v>35434</v>
      </c>
    </row>
    <row r="91" customFormat="false" ht="64" hidden="false" customHeight="true" outlineLevel="0" collapsed="false">
      <c r="A91" s="9" t="s">
        <v>707</v>
      </c>
      <c r="B91" s="9" t="s">
        <v>708</v>
      </c>
      <c r="C91" s="9" t="s">
        <v>708</v>
      </c>
      <c r="D91" s="9" t="s">
        <v>709</v>
      </c>
      <c r="E91" s="9" t="s">
        <v>4</v>
      </c>
      <c r="F91" s="9" t="s">
        <v>710</v>
      </c>
      <c r="G91" s="10" t="n">
        <v>45967</v>
      </c>
      <c r="H91" s="9"/>
      <c r="I91" s="10"/>
      <c r="J91" s="9"/>
      <c r="K91" s="9" t="s">
        <v>245</v>
      </c>
      <c r="L91" s="9" t="s">
        <v>539</v>
      </c>
      <c r="M91" s="9" t="s">
        <v>244</v>
      </c>
      <c r="N91" s="9" t="n">
        <v>1</v>
      </c>
      <c r="O91" s="9" t="n">
        <v>1</v>
      </c>
      <c r="P91" s="9" t="str">
        <f aca="false">HYPERLINK("https://www.cqc.org.uk/location/1-25512414515","https://www.cqc.org.uk/location/1-25512414515")</f>
        <v>https://www.cqc.org.uk/location/1-25512414515</v>
      </c>
      <c r="Q91" s="9" t="s">
        <v>711</v>
      </c>
      <c r="R91" s="10" t="n">
        <v>46266</v>
      </c>
      <c r="S91" s="10" t="n">
        <v>46267</v>
      </c>
      <c r="T91" s="10" t="n">
        <v>46273</v>
      </c>
      <c r="U91" s="9" t="n">
        <v>33549</v>
      </c>
    </row>
    <row r="92" customFormat="false" ht="64" hidden="false" customHeight="true" outlineLevel="0" collapsed="false">
      <c r="A92" s="7" t="s">
        <v>712</v>
      </c>
      <c r="B92" s="7" t="s">
        <v>713</v>
      </c>
      <c r="C92" s="7" t="s">
        <v>713</v>
      </c>
      <c r="D92" s="7" t="s">
        <v>714</v>
      </c>
      <c r="E92" s="7" t="s">
        <v>4</v>
      </c>
      <c r="F92" s="7" t="s">
        <v>715</v>
      </c>
      <c r="G92" s="8" t="n">
        <v>45609</v>
      </c>
      <c r="H92" s="7"/>
      <c r="I92" s="8"/>
      <c r="J92" s="7"/>
      <c r="K92" s="7" t="s">
        <v>252</v>
      </c>
      <c r="L92" s="7" t="s">
        <v>539</v>
      </c>
      <c r="M92" s="7" t="s">
        <v>254</v>
      </c>
      <c r="N92" s="7" t="n">
        <v>1</v>
      </c>
      <c r="O92" s="7" t="n">
        <v>1</v>
      </c>
      <c r="P92" s="7" t="str">
        <f aca="false">HYPERLINK("https://www.cqc.org.uk/location/1-20295193040","https://www.cqc.org.uk/location/1-20295193040")</f>
        <v>https://www.cqc.org.uk/location/1-20295193040</v>
      </c>
      <c r="Q92" s="7" t="s">
        <v>716</v>
      </c>
      <c r="R92" s="8" t="n">
        <v>46266</v>
      </c>
      <c r="S92" s="8" t="n">
        <v>46267</v>
      </c>
      <c r="T92" s="8" t="n">
        <v>46273</v>
      </c>
      <c r="U92" s="7" t="n">
        <v>25626</v>
      </c>
    </row>
    <row r="93" customFormat="false" ht="64" hidden="false" customHeight="true" outlineLevel="0" collapsed="false">
      <c r="A93" s="9" t="s">
        <v>717</v>
      </c>
      <c r="B93" s="9" t="s">
        <v>718</v>
      </c>
      <c r="C93" s="9" t="s">
        <v>719</v>
      </c>
      <c r="D93" s="9" t="s">
        <v>720</v>
      </c>
      <c r="E93" s="9" t="s">
        <v>4</v>
      </c>
      <c r="F93" s="9" t="s">
        <v>330</v>
      </c>
      <c r="G93" s="10" t="n">
        <v>42739</v>
      </c>
      <c r="H93" s="9" t="s">
        <v>268</v>
      </c>
      <c r="I93" s="10" t="n">
        <v>43600</v>
      </c>
      <c r="J93" s="9" t="s">
        <v>244</v>
      </c>
      <c r="K93" s="9" t="s">
        <v>252</v>
      </c>
      <c r="L93" s="9" t="s">
        <v>315</v>
      </c>
      <c r="M93" s="9" t="s">
        <v>254</v>
      </c>
      <c r="N93" s="9" t="n">
        <v>1</v>
      </c>
      <c r="O93" s="9" t="n">
        <v>1</v>
      </c>
      <c r="P93" s="9" t="str">
        <f aca="false">HYPERLINK("https://www.cqc.org.uk/location/1-3154262922","https://www.cqc.org.uk/location/1-3154262922")</f>
        <v>https://www.cqc.org.uk/location/1-3154262922</v>
      </c>
      <c r="Q93" s="9"/>
      <c r="R93" s="10" t="n">
        <v>46266</v>
      </c>
      <c r="S93" s="10" t="n">
        <v>46267</v>
      </c>
      <c r="T93" s="10" t="n">
        <v>46273</v>
      </c>
      <c r="U93" s="9" t="n">
        <v>38840</v>
      </c>
    </row>
    <row r="94" customFormat="false" ht="64" hidden="false" customHeight="true" outlineLevel="0" collapsed="false">
      <c r="A94" s="7" t="s">
        <v>721</v>
      </c>
      <c r="B94" s="7" t="s">
        <v>722</v>
      </c>
      <c r="C94" s="7" t="s">
        <v>723</v>
      </c>
      <c r="D94" s="7" t="s">
        <v>724</v>
      </c>
      <c r="E94" s="7" t="s">
        <v>4</v>
      </c>
      <c r="F94" s="7" t="s">
        <v>725</v>
      </c>
      <c r="G94" s="8" t="n">
        <v>41871</v>
      </c>
      <c r="H94" s="7" t="s">
        <v>243</v>
      </c>
      <c r="I94" s="8" t="n">
        <v>43567</v>
      </c>
      <c r="J94" s="7" t="s">
        <v>244</v>
      </c>
      <c r="K94" s="7" t="s">
        <v>726</v>
      </c>
      <c r="L94" s="7" t="s">
        <v>253</v>
      </c>
      <c r="M94" s="7" t="s">
        <v>254</v>
      </c>
      <c r="N94" s="7" t="n">
        <v>1</v>
      </c>
      <c r="O94" s="7" t="n">
        <v>1</v>
      </c>
      <c r="P94" s="7" t="str">
        <f aca="false">HYPERLINK("https://www.cqc.org.uk/location/1-1588568404","https://www.cqc.org.uk/location/1-1588568404")</f>
        <v>https://www.cqc.org.uk/location/1-1588568404</v>
      </c>
      <c r="Q94" s="7" t="s">
        <v>727</v>
      </c>
      <c r="R94" s="8" t="n">
        <v>46266</v>
      </c>
      <c r="S94" s="8" t="n">
        <v>46267</v>
      </c>
      <c r="T94" s="8" t="n">
        <v>46273</v>
      </c>
      <c r="U94" s="7" t="n">
        <v>16709</v>
      </c>
    </row>
    <row r="95" customFormat="false" ht="64" hidden="false" customHeight="true" outlineLevel="0" collapsed="false">
      <c r="A95" s="9" t="s">
        <v>728</v>
      </c>
      <c r="B95" s="9" t="s">
        <v>729</v>
      </c>
      <c r="C95" s="9" t="s">
        <v>729</v>
      </c>
      <c r="D95" s="9" t="s">
        <v>730</v>
      </c>
      <c r="E95" s="9" t="s">
        <v>4</v>
      </c>
      <c r="F95" s="9" t="s">
        <v>731</v>
      </c>
      <c r="G95" s="10" t="n">
        <v>41305</v>
      </c>
      <c r="H95" s="9" t="s">
        <v>268</v>
      </c>
      <c r="I95" s="10" t="n">
        <v>43662</v>
      </c>
      <c r="J95" s="9" t="s">
        <v>244</v>
      </c>
      <c r="K95" s="9" t="s">
        <v>245</v>
      </c>
      <c r="L95" s="9" t="s">
        <v>269</v>
      </c>
      <c r="M95" s="9" t="s">
        <v>244</v>
      </c>
      <c r="N95" s="9" t="n">
        <v>1</v>
      </c>
      <c r="O95" s="9" t="n">
        <v>1</v>
      </c>
      <c r="P95" s="9" t="str">
        <f aca="false">HYPERLINK("https://www.cqc.org.uk/location/1-562133340","https://www.cqc.org.uk/location/1-562133340")</f>
        <v>https://www.cqc.org.uk/location/1-562133340</v>
      </c>
      <c r="Q95" s="9" t="s">
        <v>732</v>
      </c>
      <c r="R95" s="10" t="n">
        <v>46266</v>
      </c>
      <c r="S95" s="10" t="n">
        <v>46267</v>
      </c>
      <c r="T95" s="10" t="n">
        <v>46273</v>
      </c>
      <c r="U95" s="9" t="n">
        <v>47179</v>
      </c>
    </row>
    <row r="96" customFormat="false" ht="64" hidden="false" customHeight="true" outlineLevel="0" collapsed="false">
      <c r="A96" s="7" t="s">
        <v>733</v>
      </c>
      <c r="B96" s="7" t="s">
        <v>734</v>
      </c>
      <c r="C96" s="7" t="s">
        <v>735</v>
      </c>
      <c r="D96" s="7" t="s">
        <v>736</v>
      </c>
      <c r="E96" s="7" t="s">
        <v>4</v>
      </c>
      <c r="F96" s="7" t="s">
        <v>737</v>
      </c>
      <c r="G96" s="8" t="n">
        <v>45364</v>
      </c>
      <c r="H96" s="7"/>
      <c r="I96" s="8"/>
      <c r="J96" s="7"/>
      <c r="K96" s="7" t="s">
        <v>245</v>
      </c>
      <c r="L96" s="7" t="s">
        <v>289</v>
      </c>
      <c r="M96" s="7" t="s">
        <v>244</v>
      </c>
      <c r="N96" s="7" t="n">
        <v>2</v>
      </c>
      <c r="O96" s="7" t="n">
        <v>1</v>
      </c>
      <c r="P96" s="7" t="str">
        <f aca="false">HYPERLINK("https://www.cqc.org.uk/location/1-18773703134","https://www.cqc.org.uk/location/1-18773703134")</f>
        <v>https://www.cqc.org.uk/location/1-18773703134</v>
      </c>
      <c r="Q96" s="7"/>
      <c r="R96" s="8" t="n">
        <v>46266</v>
      </c>
      <c r="S96" s="8" t="n">
        <v>46267</v>
      </c>
      <c r="T96" s="8" t="n">
        <v>46273</v>
      </c>
      <c r="U96" s="7" t="n">
        <v>20499</v>
      </c>
    </row>
    <row r="97" customFormat="false" ht="64" hidden="false" customHeight="true" outlineLevel="0" collapsed="false">
      <c r="A97" s="9" t="s">
        <v>738</v>
      </c>
      <c r="B97" s="9" t="s">
        <v>739</v>
      </c>
      <c r="C97" s="9" t="s">
        <v>739</v>
      </c>
      <c r="D97" s="9" t="s">
        <v>740</v>
      </c>
      <c r="E97" s="9" t="s">
        <v>4</v>
      </c>
      <c r="F97" s="9" t="s">
        <v>403</v>
      </c>
      <c r="G97" s="10" t="n">
        <v>43635</v>
      </c>
      <c r="H97" s="9" t="s">
        <v>268</v>
      </c>
      <c r="I97" s="10" t="n">
        <v>44908</v>
      </c>
      <c r="J97" s="9" t="s">
        <v>244</v>
      </c>
      <c r="K97" s="9" t="s">
        <v>252</v>
      </c>
      <c r="L97" s="9" t="s">
        <v>451</v>
      </c>
      <c r="M97" s="9" t="s">
        <v>254</v>
      </c>
      <c r="N97" s="9" t="n">
        <v>2</v>
      </c>
      <c r="O97" s="9" t="n">
        <v>1</v>
      </c>
      <c r="P97" s="9" t="str">
        <f aca="false">HYPERLINK("https://www.cqc.org.uk/location/1-6987313564","https://www.cqc.org.uk/location/1-6987313564")</f>
        <v>https://www.cqc.org.uk/location/1-6987313564</v>
      </c>
      <c r="Q97" s="9" t="s">
        <v>741</v>
      </c>
      <c r="R97" s="10" t="n">
        <v>46266</v>
      </c>
      <c r="S97" s="10" t="n">
        <v>46267</v>
      </c>
      <c r="T97" s="10" t="n">
        <v>46273</v>
      </c>
      <c r="U97" s="9" t="n">
        <v>50930</v>
      </c>
    </row>
    <row r="98" customFormat="false" ht="64" hidden="false" customHeight="true" outlineLevel="0" collapsed="false">
      <c r="A98" s="7" t="s">
        <v>742</v>
      </c>
      <c r="B98" s="7" t="s">
        <v>743</v>
      </c>
      <c r="C98" s="7" t="s">
        <v>743</v>
      </c>
      <c r="D98" s="7" t="s">
        <v>744</v>
      </c>
      <c r="E98" s="7" t="s">
        <v>4</v>
      </c>
      <c r="F98" s="7" t="s">
        <v>745</v>
      </c>
      <c r="G98" s="8" t="n">
        <v>43420</v>
      </c>
      <c r="H98" s="7" t="s">
        <v>243</v>
      </c>
      <c r="I98" s="8" t="n">
        <v>44540</v>
      </c>
      <c r="J98" s="7" t="s">
        <v>244</v>
      </c>
      <c r="K98" s="7" t="s">
        <v>252</v>
      </c>
      <c r="L98" s="7" t="s">
        <v>471</v>
      </c>
      <c r="M98" s="7" t="s">
        <v>254</v>
      </c>
      <c r="N98" s="7" t="n">
        <v>1</v>
      </c>
      <c r="O98" s="7" t="n">
        <v>1</v>
      </c>
      <c r="P98" s="7" t="str">
        <f aca="false">HYPERLINK("https://www.cqc.org.uk/location/1-6037207160","https://www.cqc.org.uk/location/1-6037207160")</f>
        <v>https://www.cqc.org.uk/location/1-6037207160</v>
      </c>
      <c r="Q98" s="7" t="s">
        <v>746</v>
      </c>
      <c r="R98" s="8" t="n">
        <v>46266</v>
      </c>
      <c r="S98" s="8" t="n">
        <v>46267</v>
      </c>
      <c r="T98" s="8" t="n">
        <v>46273</v>
      </c>
      <c r="U98" s="7" t="n">
        <v>49186</v>
      </c>
    </row>
    <row r="99" customFormat="false" ht="64" hidden="false" customHeight="true" outlineLevel="0" collapsed="false">
      <c r="A99" s="9" t="s">
        <v>747</v>
      </c>
      <c r="B99" s="9" t="s">
        <v>748</v>
      </c>
      <c r="C99" s="9" t="s">
        <v>748</v>
      </c>
      <c r="D99" s="9" t="s">
        <v>749</v>
      </c>
      <c r="E99" s="9" t="s">
        <v>4</v>
      </c>
      <c r="F99" s="9" t="s">
        <v>426</v>
      </c>
      <c r="G99" s="10" t="n">
        <v>44063</v>
      </c>
      <c r="H99" s="9" t="s">
        <v>243</v>
      </c>
      <c r="I99" s="10" t="n">
        <v>44596</v>
      </c>
      <c r="J99" s="9" t="s">
        <v>244</v>
      </c>
      <c r="K99" s="9" t="s">
        <v>252</v>
      </c>
      <c r="L99" s="9" t="s">
        <v>315</v>
      </c>
      <c r="M99" s="9" t="s">
        <v>254</v>
      </c>
      <c r="N99" s="9" t="n">
        <v>1</v>
      </c>
      <c r="O99" s="9" t="n">
        <v>1</v>
      </c>
      <c r="P99" s="9" t="str">
        <f aca="false">HYPERLINK("https://www.cqc.org.uk/location/1-9414045580","https://www.cqc.org.uk/location/1-9414045580")</f>
        <v>https://www.cqc.org.uk/location/1-9414045580</v>
      </c>
      <c r="Q99" s="9" t="s">
        <v>750</v>
      </c>
      <c r="R99" s="10" t="n">
        <v>46266</v>
      </c>
      <c r="S99" s="10" t="n">
        <v>46267</v>
      </c>
      <c r="T99" s="10" t="n">
        <v>46273</v>
      </c>
      <c r="U99" s="9" t="n">
        <v>54355</v>
      </c>
    </row>
    <row r="100" customFormat="false" ht="64" hidden="false" customHeight="true" outlineLevel="0" collapsed="false">
      <c r="A100" s="7" t="s">
        <v>751</v>
      </c>
      <c r="B100" s="7" t="s">
        <v>752</v>
      </c>
      <c r="C100" s="7" t="s">
        <v>752</v>
      </c>
      <c r="D100" s="7" t="s">
        <v>753</v>
      </c>
      <c r="E100" s="7" t="s">
        <v>4</v>
      </c>
      <c r="F100" s="7" t="s">
        <v>715</v>
      </c>
      <c r="G100" s="8" t="n">
        <v>44678</v>
      </c>
      <c r="H100" s="7" t="s">
        <v>268</v>
      </c>
      <c r="I100" s="8" t="n">
        <v>43644</v>
      </c>
      <c r="J100" s="7" t="s">
        <v>254</v>
      </c>
      <c r="K100" s="7" t="s">
        <v>252</v>
      </c>
      <c r="L100" s="7" t="s">
        <v>451</v>
      </c>
      <c r="M100" s="7" t="s">
        <v>254</v>
      </c>
      <c r="N100" s="7" t="n">
        <v>1</v>
      </c>
      <c r="O100" s="7" t="n">
        <v>1</v>
      </c>
      <c r="P100" s="7" t="str">
        <f aca="false">HYPERLINK("https://www.cqc.org.uk/location/1-13044572799","https://www.cqc.org.uk/location/1-13044572799")</f>
        <v>https://www.cqc.org.uk/location/1-13044572799</v>
      </c>
      <c r="Q100" s="7"/>
      <c r="R100" s="8" t="n">
        <v>46266</v>
      </c>
      <c r="S100" s="8" t="n">
        <v>46267</v>
      </c>
      <c r="T100" s="8" t="n">
        <v>46273</v>
      </c>
      <c r="U100" s="7" t="n">
        <v>10230</v>
      </c>
    </row>
    <row r="101" customFormat="false" ht="64" hidden="false" customHeight="true" outlineLevel="0" collapsed="false">
      <c r="A101" s="9" t="s">
        <v>197</v>
      </c>
      <c r="B101" s="9" t="s">
        <v>198</v>
      </c>
      <c r="C101" s="9" t="s">
        <v>192</v>
      </c>
      <c r="D101" s="9" t="s">
        <v>196</v>
      </c>
      <c r="E101" s="9" t="s">
        <v>4</v>
      </c>
      <c r="F101" s="9" t="s">
        <v>754</v>
      </c>
      <c r="G101" s="10" t="n">
        <v>46052</v>
      </c>
      <c r="H101" s="9"/>
      <c r="I101" s="10"/>
      <c r="J101" s="9"/>
      <c r="K101" s="9" t="s">
        <v>245</v>
      </c>
      <c r="L101" s="9" t="s">
        <v>755</v>
      </c>
      <c r="M101" s="9" t="s">
        <v>244</v>
      </c>
      <c r="N101" s="9" t="n">
        <v>1</v>
      </c>
      <c r="O101" s="9" t="n">
        <v>1</v>
      </c>
      <c r="P101" s="9" t="str">
        <f aca="false">HYPERLINK("https://www.cqc.org.uk/location/1-26682155005","https://www.cqc.org.uk/location/1-26682155005")</f>
        <v>https://www.cqc.org.uk/location/1-26682155005</v>
      </c>
      <c r="Q101" s="9" t="s">
        <v>756</v>
      </c>
      <c r="R101" s="10" t="n">
        <v>46266</v>
      </c>
      <c r="S101" s="10" t="n">
        <v>46267</v>
      </c>
      <c r="T101" s="10" t="n">
        <v>46273</v>
      </c>
      <c r="U101" s="9" t="n">
        <v>35078</v>
      </c>
    </row>
    <row r="102" customFormat="false" ht="64" hidden="false" customHeight="true" outlineLevel="0" collapsed="false">
      <c r="A102" s="7" t="s">
        <v>757</v>
      </c>
      <c r="B102" s="7" t="s">
        <v>758</v>
      </c>
      <c r="C102" s="7" t="s">
        <v>758</v>
      </c>
      <c r="D102" s="7" t="s">
        <v>759</v>
      </c>
      <c r="E102" s="7" t="s">
        <v>4</v>
      </c>
      <c r="F102" s="7" t="s">
        <v>760</v>
      </c>
      <c r="G102" s="8" t="n">
        <v>44769</v>
      </c>
      <c r="H102" s="7"/>
      <c r="I102" s="8"/>
      <c r="J102" s="7"/>
      <c r="K102" s="7" t="s">
        <v>252</v>
      </c>
      <c r="L102" s="7" t="s">
        <v>386</v>
      </c>
      <c r="M102" s="7" t="s">
        <v>254</v>
      </c>
      <c r="N102" s="7" t="n">
        <v>1</v>
      </c>
      <c r="O102" s="7" t="n">
        <v>1</v>
      </c>
      <c r="P102" s="7" t="str">
        <f aca="false">HYPERLINK("https://www.cqc.org.uk/location/1-13634729916","https://www.cqc.org.uk/location/1-13634729916")</f>
        <v>https://www.cqc.org.uk/location/1-13634729916</v>
      </c>
      <c r="Q102" s="7" t="s">
        <v>761</v>
      </c>
      <c r="R102" s="8" t="n">
        <v>46266</v>
      </c>
      <c r="S102" s="8" t="n">
        <v>46267</v>
      </c>
      <c r="T102" s="8" t="n">
        <v>46273</v>
      </c>
      <c r="U102" s="7" t="n">
        <v>12051</v>
      </c>
    </row>
    <row r="103" customFormat="false" ht="64" hidden="false" customHeight="true" outlineLevel="0" collapsed="false">
      <c r="A103" s="9" t="s">
        <v>762</v>
      </c>
      <c r="B103" s="9" t="s">
        <v>763</v>
      </c>
      <c r="C103" s="9" t="s">
        <v>764</v>
      </c>
      <c r="D103" s="9" t="s">
        <v>765</v>
      </c>
      <c r="E103" s="9" t="s">
        <v>4</v>
      </c>
      <c r="F103" s="9" t="s">
        <v>766</v>
      </c>
      <c r="G103" s="10" t="n">
        <v>45299</v>
      </c>
      <c r="H103" s="9"/>
      <c r="I103" s="10"/>
      <c r="J103" s="9"/>
      <c r="K103" s="9" t="s">
        <v>245</v>
      </c>
      <c r="L103" s="9" t="s">
        <v>451</v>
      </c>
      <c r="M103" s="9" t="s">
        <v>244</v>
      </c>
      <c r="N103" s="9" t="n">
        <v>1</v>
      </c>
      <c r="O103" s="9" t="n">
        <v>1</v>
      </c>
      <c r="P103" s="9" t="str">
        <f aca="false">HYPERLINK("https://www.cqc.org.uk/location/1-18294169785","https://www.cqc.org.uk/location/1-18294169785")</f>
        <v>https://www.cqc.org.uk/location/1-18294169785</v>
      </c>
      <c r="Q103" s="9" t="s">
        <v>767</v>
      </c>
      <c r="R103" s="10" t="n">
        <v>46266</v>
      </c>
      <c r="S103" s="10" t="n">
        <v>46267</v>
      </c>
      <c r="T103" s="10" t="n">
        <v>46273</v>
      </c>
      <c r="U103" s="9" t="n">
        <v>19694</v>
      </c>
    </row>
    <row r="104" customFormat="false" ht="64" hidden="false" customHeight="true" outlineLevel="0" collapsed="false">
      <c r="A104" s="7" t="s">
        <v>768</v>
      </c>
      <c r="B104" s="7" t="s">
        <v>769</v>
      </c>
      <c r="C104" s="7" t="s">
        <v>769</v>
      </c>
      <c r="D104" s="7" t="s">
        <v>770</v>
      </c>
      <c r="E104" s="7" t="s">
        <v>4</v>
      </c>
      <c r="F104" s="7" t="s">
        <v>771</v>
      </c>
      <c r="G104" s="8" t="n">
        <v>43818</v>
      </c>
      <c r="H104" s="7" t="s">
        <v>243</v>
      </c>
      <c r="I104" s="8" t="n">
        <v>44287</v>
      </c>
      <c r="J104" s="7" t="s">
        <v>244</v>
      </c>
      <c r="K104" s="7" t="s">
        <v>252</v>
      </c>
      <c r="L104" s="7" t="s">
        <v>772</v>
      </c>
      <c r="M104" s="7" t="s">
        <v>254</v>
      </c>
      <c r="N104" s="7" t="n">
        <v>1</v>
      </c>
      <c r="O104" s="7" t="n">
        <v>1</v>
      </c>
      <c r="P104" s="7" t="str">
        <f aca="false">HYPERLINK("https://www.cqc.org.uk/location/1-8054628056","https://www.cqc.org.uk/location/1-8054628056")</f>
        <v>https://www.cqc.org.uk/location/1-8054628056</v>
      </c>
      <c r="Q104" s="7"/>
      <c r="R104" s="8" t="n">
        <v>46266</v>
      </c>
      <c r="S104" s="8" t="n">
        <v>46267</v>
      </c>
      <c r="T104" s="8" t="n">
        <v>46273</v>
      </c>
      <c r="U104" s="7" t="n">
        <v>52510</v>
      </c>
    </row>
    <row r="105" customFormat="false" ht="64" hidden="false" customHeight="true" outlineLevel="0" collapsed="false">
      <c r="A105" s="9" t="s">
        <v>773</v>
      </c>
      <c r="B105" s="9" t="s">
        <v>774</v>
      </c>
      <c r="C105" s="9" t="s">
        <v>775</v>
      </c>
      <c r="D105" s="9" t="s">
        <v>776</v>
      </c>
      <c r="E105" s="9" t="s">
        <v>4</v>
      </c>
      <c r="F105" s="9" t="s">
        <v>777</v>
      </c>
      <c r="G105" s="10" t="n">
        <v>45862</v>
      </c>
      <c r="H105" s="9" t="s">
        <v>268</v>
      </c>
      <c r="I105" s="10" t="n">
        <v>44342</v>
      </c>
      <c r="J105" s="9" t="s">
        <v>254</v>
      </c>
      <c r="K105" s="9" t="s">
        <v>778</v>
      </c>
      <c r="L105" s="9" t="s">
        <v>386</v>
      </c>
      <c r="M105" s="9" t="s">
        <v>244</v>
      </c>
      <c r="N105" s="9" t="n">
        <v>2</v>
      </c>
      <c r="O105" s="9" t="n">
        <v>1</v>
      </c>
      <c r="P105" s="9" t="str">
        <f aca="false">HYPERLINK("https://www.cqc.org.uk/location/1-24139654155","https://www.cqc.org.uk/location/1-24139654155")</f>
        <v>https://www.cqc.org.uk/location/1-24139654155</v>
      </c>
      <c r="Q105" s="9" t="s">
        <v>779</v>
      </c>
      <c r="R105" s="10" t="n">
        <v>46266</v>
      </c>
      <c r="S105" s="10" t="n">
        <v>46267</v>
      </c>
      <c r="T105" s="10" t="n">
        <v>46273</v>
      </c>
      <c r="U105" s="9" t="n">
        <v>31769</v>
      </c>
    </row>
    <row r="106" customFormat="false" ht="64" hidden="false" customHeight="true" outlineLevel="0" collapsed="false">
      <c r="A106" s="7" t="s">
        <v>780</v>
      </c>
      <c r="B106" s="7" t="s">
        <v>781</v>
      </c>
      <c r="C106" s="7" t="s">
        <v>782</v>
      </c>
      <c r="D106" s="7" t="s">
        <v>783</v>
      </c>
      <c r="E106" s="7" t="s">
        <v>4</v>
      </c>
      <c r="F106" s="7" t="s">
        <v>784</v>
      </c>
      <c r="G106" s="8" t="n">
        <v>40520</v>
      </c>
      <c r="H106" s="7" t="s">
        <v>243</v>
      </c>
      <c r="I106" s="8" t="n">
        <v>43593</v>
      </c>
      <c r="J106" s="7" t="s">
        <v>244</v>
      </c>
      <c r="K106" s="7" t="s">
        <v>252</v>
      </c>
      <c r="L106" s="7" t="s">
        <v>451</v>
      </c>
      <c r="M106" s="7" t="s">
        <v>254</v>
      </c>
      <c r="N106" s="7" t="n">
        <v>1</v>
      </c>
      <c r="O106" s="7" t="n">
        <v>1</v>
      </c>
      <c r="P106" s="7" t="str">
        <f aca="false">HYPERLINK("https://www.cqc.org.uk/location/1-120625798","https://www.cqc.org.uk/location/1-120625798")</f>
        <v>https://www.cqc.org.uk/location/1-120625798</v>
      </c>
      <c r="Q106" s="7" t="s">
        <v>785</v>
      </c>
      <c r="R106" s="8" t="n">
        <v>46266</v>
      </c>
      <c r="S106" s="8" t="n">
        <v>46267</v>
      </c>
      <c r="T106" s="8" t="n">
        <v>46273</v>
      </c>
      <c r="U106" s="7" t="n">
        <v>5985</v>
      </c>
    </row>
    <row r="107" customFormat="false" ht="64" hidden="false" customHeight="true" outlineLevel="0" collapsed="false">
      <c r="A107" s="9" t="s">
        <v>786</v>
      </c>
      <c r="B107" s="9" t="s">
        <v>787</v>
      </c>
      <c r="C107" s="9" t="s">
        <v>787</v>
      </c>
      <c r="D107" s="9" t="s">
        <v>788</v>
      </c>
      <c r="E107" s="9" t="s">
        <v>4</v>
      </c>
      <c r="F107" s="9" t="s">
        <v>789</v>
      </c>
      <c r="G107" s="10" t="n">
        <v>44134</v>
      </c>
      <c r="H107" s="9"/>
      <c r="I107" s="10"/>
      <c r="J107" s="9"/>
      <c r="K107" s="9" t="s">
        <v>245</v>
      </c>
      <c r="L107" s="9" t="s">
        <v>357</v>
      </c>
      <c r="M107" s="9" t="s">
        <v>244</v>
      </c>
      <c r="N107" s="9" t="n">
        <v>1</v>
      </c>
      <c r="O107" s="9" t="n">
        <v>1</v>
      </c>
      <c r="P107" s="9" t="str">
        <f aca="false">HYPERLINK("https://www.cqc.org.uk/location/1-9787406861","https://www.cqc.org.uk/location/1-9787406861")</f>
        <v>https://www.cqc.org.uk/location/1-9787406861</v>
      </c>
      <c r="Q107" s="9"/>
      <c r="R107" s="10" t="n">
        <v>46266</v>
      </c>
      <c r="S107" s="10" t="n">
        <v>46267</v>
      </c>
      <c r="T107" s="10" t="n">
        <v>46273</v>
      </c>
      <c r="U107" s="9" t="n">
        <v>54983</v>
      </c>
    </row>
    <row r="108" customFormat="false" ht="64" hidden="false" customHeight="true" outlineLevel="0" collapsed="false">
      <c r="A108" s="7" t="s">
        <v>790</v>
      </c>
      <c r="B108" s="7" t="s">
        <v>791</v>
      </c>
      <c r="C108" s="7" t="s">
        <v>792</v>
      </c>
      <c r="D108" s="7" t="s">
        <v>793</v>
      </c>
      <c r="E108" s="7" t="s">
        <v>4</v>
      </c>
      <c r="F108" s="7" t="s">
        <v>794</v>
      </c>
      <c r="G108" s="8" t="n">
        <v>45481</v>
      </c>
      <c r="H108" s="7"/>
      <c r="I108" s="8"/>
      <c r="J108" s="7"/>
      <c r="K108" s="7" t="s">
        <v>252</v>
      </c>
      <c r="L108" s="7" t="s">
        <v>795</v>
      </c>
      <c r="M108" s="7" t="s">
        <v>254</v>
      </c>
      <c r="N108" s="7" t="n">
        <v>1</v>
      </c>
      <c r="O108" s="7" t="n">
        <v>1</v>
      </c>
      <c r="P108" s="7" t="str">
        <f aca="false">HYPERLINK("https://www.cqc.org.uk/location/1-19607894572","https://www.cqc.org.uk/location/1-19607894572")</f>
        <v>https://www.cqc.org.uk/location/1-19607894572</v>
      </c>
      <c r="Q108" s="7"/>
      <c r="R108" s="8" t="n">
        <v>46266</v>
      </c>
      <c r="S108" s="8" t="n">
        <v>46267</v>
      </c>
      <c r="T108" s="8" t="n">
        <v>46273</v>
      </c>
      <c r="U108" s="7" t="n">
        <v>22888</v>
      </c>
    </row>
    <row r="109" customFormat="false" ht="64" hidden="false" customHeight="true" outlineLevel="0" collapsed="false">
      <c r="A109" s="9" t="s">
        <v>796</v>
      </c>
      <c r="B109" s="9" t="s">
        <v>797</v>
      </c>
      <c r="C109" s="9" t="s">
        <v>798</v>
      </c>
      <c r="D109" s="9" t="s">
        <v>799</v>
      </c>
      <c r="E109" s="9" t="s">
        <v>4</v>
      </c>
      <c r="F109" s="9" t="s">
        <v>572</v>
      </c>
      <c r="G109" s="10" t="n">
        <v>44091</v>
      </c>
      <c r="H109" s="9"/>
      <c r="I109" s="10"/>
      <c r="J109" s="9"/>
      <c r="K109" s="9" t="s">
        <v>252</v>
      </c>
      <c r="L109" s="9" t="s">
        <v>772</v>
      </c>
      <c r="M109" s="9" t="s">
        <v>254</v>
      </c>
      <c r="N109" s="9" t="n">
        <v>1</v>
      </c>
      <c r="O109" s="9" t="n">
        <v>1</v>
      </c>
      <c r="P109" s="9" t="str">
        <f aca="false">HYPERLINK("https://www.cqc.org.uk/location/1-9481783785","https://www.cqc.org.uk/location/1-9481783785")</f>
        <v>https://www.cqc.org.uk/location/1-9481783785</v>
      </c>
      <c r="Q109" s="9" t="s">
        <v>800</v>
      </c>
      <c r="R109" s="10" t="n">
        <v>46266</v>
      </c>
      <c r="S109" s="10" t="n">
        <v>46267</v>
      </c>
      <c r="T109" s="10" t="n">
        <v>46273</v>
      </c>
      <c r="U109" s="9" t="n">
        <v>54438</v>
      </c>
    </row>
    <row r="110" customFormat="false" ht="64" hidden="false" customHeight="true" outlineLevel="0" collapsed="false">
      <c r="A110" s="7" t="s">
        <v>801</v>
      </c>
      <c r="B110" s="7" t="s">
        <v>802</v>
      </c>
      <c r="C110" s="7" t="s">
        <v>802</v>
      </c>
      <c r="D110" s="7" t="s">
        <v>803</v>
      </c>
      <c r="E110" s="7" t="s">
        <v>4</v>
      </c>
      <c r="F110" s="7" t="s">
        <v>804</v>
      </c>
      <c r="G110" s="8" t="n">
        <v>43140</v>
      </c>
      <c r="H110" s="7" t="s">
        <v>268</v>
      </c>
      <c r="I110" s="8" t="n">
        <v>44657</v>
      </c>
      <c r="J110" s="7" t="s">
        <v>244</v>
      </c>
      <c r="K110" s="7" t="s">
        <v>252</v>
      </c>
      <c r="L110" s="7" t="s">
        <v>805</v>
      </c>
      <c r="M110" s="7" t="s">
        <v>254</v>
      </c>
      <c r="N110" s="7" t="n">
        <v>1</v>
      </c>
      <c r="O110" s="7" t="n">
        <v>1</v>
      </c>
      <c r="P110" s="7" t="str">
        <f aca="false">HYPERLINK("https://www.cqc.org.uk/location/1-4840431805","https://www.cqc.org.uk/location/1-4840431805")</f>
        <v>https://www.cqc.org.uk/location/1-4840431805</v>
      </c>
      <c r="Q110" s="7"/>
      <c r="R110" s="8" t="n">
        <v>46266</v>
      </c>
      <c r="S110" s="8" t="n">
        <v>46267</v>
      </c>
      <c r="T110" s="8" t="n">
        <v>46273</v>
      </c>
      <c r="U110" s="7" t="n">
        <v>42955</v>
      </c>
    </row>
    <row r="111" customFormat="false" ht="64" hidden="false" customHeight="true" outlineLevel="0" collapsed="false">
      <c r="A111" s="9" t="s">
        <v>806</v>
      </c>
      <c r="B111" s="9" t="s">
        <v>807</v>
      </c>
      <c r="C111" s="9" t="s">
        <v>116</v>
      </c>
      <c r="D111" s="9" t="s">
        <v>120</v>
      </c>
      <c r="E111" s="9" t="s">
        <v>4</v>
      </c>
      <c r="F111" s="9" t="s">
        <v>583</v>
      </c>
      <c r="G111" s="10" t="n">
        <v>44230</v>
      </c>
      <c r="H111" s="9" t="s">
        <v>268</v>
      </c>
      <c r="I111" s="10" t="n">
        <v>45350</v>
      </c>
      <c r="J111" s="9" t="s">
        <v>244</v>
      </c>
      <c r="K111" s="9" t="s">
        <v>252</v>
      </c>
      <c r="L111" s="9" t="s">
        <v>451</v>
      </c>
      <c r="M111" s="9" t="s">
        <v>254</v>
      </c>
      <c r="N111" s="9" t="n">
        <v>6</v>
      </c>
      <c r="O111" s="9" t="n">
        <v>2</v>
      </c>
      <c r="P111" s="9" t="str">
        <f aca="false">HYPERLINK("https://www.cqc.org.uk/location/1-10233651067","https://www.cqc.org.uk/location/1-10233651067")</f>
        <v>https://www.cqc.org.uk/location/1-10233651067</v>
      </c>
      <c r="Q111" s="9" t="s">
        <v>808</v>
      </c>
      <c r="R111" s="10" t="n">
        <v>46266</v>
      </c>
      <c r="S111" s="10" t="n">
        <v>46267</v>
      </c>
      <c r="T111" s="10" t="n">
        <v>46273</v>
      </c>
      <c r="U111" s="9" t="n">
        <v>319</v>
      </c>
    </row>
    <row r="112" customFormat="false" ht="64" hidden="false" customHeight="true" outlineLevel="0" collapsed="false">
      <c r="A112" s="7" t="s">
        <v>121</v>
      </c>
      <c r="B112" s="7" t="s">
        <v>122</v>
      </c>
      <c r="C112" s="7" t="s">
        <v>116</v>
      </c>
      <c r="D112" s="7" t="s">
        <v>120</v>
      </c>
      <c r="E112" s="7" t="s">
        <v>4</v>
      </c>
      <c r="F112" s="7" t="s">
        <v>809</v>
      </c>
      <c r="G112" s="8" t="n">
        <v>45013</v>
      </c>
      <c r="H112" s="7" t="s">
        <v>260</v>
      </c>
      <c r="I112" s="8"/>
      <c r="J112" s="7" t="s">
        <v>244</v>
      </c>
      <c r="K112" s="7" t="s">
        <v>252</v>
      </c>
      <c r="L112" s="7" t="s">
        <v>315</v>
      </c>
      <c r="M112" s="7" t="s">
        <v>254</v>
      </c>
      <c r="N112" s="7" t="n">
        <v>6</v>
      </c>
      <c r="O112" s="7" t="n">
        <v>2</v>
      </c>
      <c r="P112" s="7" t="str">
        <f aca="false">HYPERLINK("https://www.cqc.org.uk/location/1-15308166952","https://www.cqc.org.uk/location/1-15308166952")</f>
        <v>https://www.cqc.org.uk/location/1-15308166952</v>
      </c>
      <c r="Q112" s="7" t="s">
        <v>808</v>
      </c>
      <c r="R112" s="8" t="n">
        <v>46266</v>
      </c>
      <c r="S112" s="8" t="n">
        <v>46267</v>
      </c>
      <c r="T112" s="8" t="n">
        <v>46273</v>
      </c>
      <c r="U112" s="7" t="n">
        <v>15908</v>
      </c>
    </row>
    <row r="113" customFormat="false" ht="64" hidden="false" customHeight="true" outlineLevel="0" collapsed="false">
      <c r="A113" s="9" t="s">
        <v>810</v>
      </c>
      <c r="B113" s="9" t="s">
        <v>811</v>
      </c>
      <c r="C113" s="9" t="s">
        <v>812</v>
      </c>
      <c r="D113" s="9" t="s">
        <v>813</v>
      </c>
      <c r="E113" s="9" t="s">
        <v>4</v>
      </c>
      <c r="F113" s="9" t="s">
        <v>504</v>
      </c>
      <c r="G113" s="10" t="n">
        <v>45338</v>
      </c>
      <c r="H113" s="9"/>
      <c r="I113" s="10"/>
      <c r="J113" s="9"/>
      <c r="K113" s="9" t="s">
        <v>252</v>
      </c>
      <c r="L113" s="9" t="s">
        <v>280</v>
      </c>
      <c r="M113" s="9" t="s">
        <v>254</v>
      </c>
      <c r="N113" s="9" t="n">
        <v>1</v>
      </c>
      <c r="O113" s="9" t="n">
        <v>1</v>
      </c>
      <c r="P113" s="9" t="str">
        <f aca="false">HYPERLINK("https://www.cqc.org.uk/location/1-18721286859","https://www.cqc.org.uk/location/1-18721286859")</f>
        <v>https://www.cqc.org.uk/location/1-18721286859</v>
      </c>
      <c r="Q113" s="9" t="s">
        <v>814</v>
      </c>
      <c r="R113" s="10" t="n">
        <v>46266</v>
      </c>
      <c r="S113" s="10" t="n">
        <v>46267</v>
      </c>
      <c r="T113" s="10" t="n">
        <v>46273</v>
      </c>
      <c r="U113" s="9" t="n">
        <v>20351</v>
      </c>
    </row>
    <row r="114" customFormat="false" ht="64" hidden="false" customHeight="true" outlineLevel="0" collapsed="false">
      <c r="A114" s="7" t="s">
        <v>815</v>
      </c>
      <c r="B114" s="7" t="s">
        <v>816</v>
      </c>
      <c r="C114" s="7" t="s">
        <v>817</v>
      </c>
      <c r="D114" s="7" t="s">
        <v>818</v>
      </c>
      <c r="E114" s="7" t="s">
        <v>4</v>
      </c>
      <c r="F114" s="7" t="s">
        <v>433</v>
      </c>
      <c r="G114" s="8" t="n">
        <v>45205</v>
      </c>
      <c r="H114" s="7"/>
      <c r="I114" s="8"/>
      <c r="J114" s="7"/>
      <c r="K114" s="7" t="s">
        <v>819</v>
      </c>
      <c r="L114" s="7" t="s">
        <v>386</v>
      </c>
      <c r="M114" s="7" t="s">
        <v>254</v>
      </c>
      <c r="N114" s="7" t="n">
        <v>1</v>
      </c>
      <c r="O114" s="7" t="n">
        <v>1</v>
      </c>
      <c r="P114" s="7" t="str">
        <f aca="false">HYPERLINK("https://www.cqc.org.uk/location/1-17194842735","https://www.cqc.org.uk/location/1-17194842735")</f>
        <v>https://www.cqc.org.uk/location/1-17194842735</v>
      </c>
      <c r="Q114" s="7"/>
      <c r="R114" s="8" t="n">
        <v>46266</v>
      </c>
      <c r="S114" s="8" t="n">
        <v>46267</v>
      </c>
      <c r="T114" s="8" t="n">
        <v>46273</v>
      </c>
      <c r="U114" s="7" t="n">
        <v>18173</v>
      </c>
    </row>
    <row r="115" customFormat="false" ht="64" hidden="false" customHeight="true" outlineLevel="0" collapsed="false">
      <c r="A115" s="9" t="s">
        <v>820</v>
      </c>
      <c r="B115" s="9" t="s">
        <v>821</v>
      </c>
      <c r="C115" s="9" t="s">
        <v>822</v>
      </c>
      <c r="D115" s="9" t="s">
        <v>823</v>
      </c>
      <c r="E115" s="9" t="s">
        <v>4</v>
      </c>
      <c r="F115" s="9" t="s">
        <v>824</v>
      </c>
      <c r="G115" s="10" t="n">
        <v>42180</v>
      </c>
      <c r="H115" s="9" t="s">
        <v>243</v>
      </c>
      <c r="I115" s="10" t="n">
        <v>45077</v>
      </c>
      <c r="J115" s="9" t="s">
        <v>244</v>
      </c>
      <c r="K115" s="9" t="s">
        <v>252</v>
      </c>
      <c r="L115" s="9" t="s">
        <v>386</v>
      </c>
      <c r="M115" s="9" t="s">
        <v>254</v>
      </c>
      <c r="N115" s="9" t="n">
        <v>1</v>
      </c>
      <c r="O115" s="9" t="n">
        <v>1</v>
      </c>
      <c r="P115" s="9" t="str">
        <f aca="false">HYPERLINK("https://www.cqc.org.uk/location/1-2110440533","https://www.cqc.org.uk/location/1-2110440533")</f>
        <v>https://www.cqc.org.uk/location/1-2110440533</v>
      </c>
      <c r="Q115" s="9" t="s">
        <v>825</v>
      </c>
      <c r="R115" s="10" t="n">
        <v>46266</v>
      </c>
      <c r="S115" s="10" t="n">
        <v>46267</v>
      </c>
      <c r="T115" s="10" t="n">
        <v>46273</v>
      </c>
      <c r="U115" s="9" t="n">
        <v>26991</v>
      </c>
    </row>
    <row r="116" customFormat="false" ht="64" hidden="false" customHeight="true" outlineLevel="0" collapsed="false">
      <c r="A116" s="7" t="s">
        <v>826</v>
      </c>
      <c r="B116" s="7" t="s">
        <v>827</v>
      </c>
      <c r="C116" s="7" t="s">
        <v>828</v>
      </c>
      <c r="D116" s="7" t="s">
        <v>829</v>
      </c>
      <c r="E116" s="7" t="s">
        <v>4</v>
      </c>
      <c r="F116" s="7" t="s">
        <v>804</v>
      </c>
      <c r="G116" s="8" t="n">
        <v>45104</v>
      </c>
      <c r="H116" s="7"/>
      <c r="I116" s="8"/>
      <c r="J116" s="7"/>
      <c r="K116" s="7" t="s">
        <v>252</v>
      </c>
      <c r="L116" s="7" t="s">
        <v>315</v>
      </c>
      <c r="M116" s="7" t="s">
        <v>254</v>
      </c>
      <c r="N116" s="7" t="n">
        <v>1</v>
      </c>
      <c r="O116" s="7" t="n">
        <v>1</v>
      </c>
      <c r="P116" s="7" t="str">
        <f aca="false">HYPERLINK("https://www.cqc.org.uk/location/1-16420866507","https://www.cqc.org.uk/location/1-16420866507")</f>
        <v>https://www.cqc.org.uk/location/1-16420866507</v>
      </c>
      <c r="Q116" s="7"/>
      <c r="R116" s="8" t="n">
        <v>46266</v>
      </c>
      <c r="S116" s="8" t="n">
        <v>46267</v>
      </c>
      <c r="T116" s="8" t="n">
        <v>46273</v>
      </c>
      <c r="U116" s="7" t="n">
        <v>17305</v>
      </c>
    </row>
    <row r="117" customFormat="false" ht="64" hidden="false" customHeight="true" outlineLevel="0" collapsed="false">
      <c r="A117" s="9" t="s">
        <v>830</v>
      </c>
      <c r="B117" s="9" t="s">
        <v>831</v>
      </c>
      <c r="C117" s="9" t="s">
        <v>832</v>
      </c>
      <c r="D117" s="9" t="s">
        <v>833</v>
      </c>
      <c r="E117" s="9" t="s">
        <v>4</v>
      </c>
      <c r="F117" s="9" t="s">
        <v>834</v>
      </c>
      <c r="G117" s="10" t="n">
        <v>42825</v>
      </c>
      <c r="H117" s="9" t="s">
        <v>268</v>
      </c>
      <c r="I117" s="10" t="n">
        <v>43251</v>
      </c>
      <c r="J117" s="9" t="s">
        <v>244</v>
      </c>
      <c r="K117" s="9" t="s">
        <v>252</v>
      </c>
      <c r="L117" s="9" t="s">
        <v>344</v>
      </c>
      <c r="M117" s="9" t="s">
        <v>254</v>
      </c>
      <c r="N117" s="9" t="n">
        <v>7</v>
      </c>
      <c r="O117" s="9" t="n">
        <v>1</v>
      </c>
      <c r="P117" s="9" t="str">
        <f aca="false">HYPERLINK("https://www.cqc.org.uk/location/1-3310949311","https://www.cqc.org.uk/location/1-3310949311")</f>
        <v>https://www.cqc.org.uk/location/1-3310949311</v>
      </c>
      <c r="Q117" s="9" t="s">
        <v>835</v>
      </c>
      <c r="R117" s="10" t="n">
        <v>46266</v>
      </c>
      <c r="S117" s="10" t="n">
        <v>46267</v>
      </c>
      <c r="T117" s="10" t="n">
        <v>46273</v>
      </c>
      <c r="U117" s="9" t="n">
        <v>39306</v>
      </c>
    </row>
    <row r="118" customFormat="false" ht="64" hidden="false" customHeight="true" outlineLevel="0" collapsed="false">
      <c r="A118" s="7" t="s">
        <v>836</v>
      </c>
      <c r="B118" s="7" t="s">
        <v>837</v>
      </c>
      <c r="C118" s="7" t="s">
        <v>838</v>
      </c>
      <c r="D118" s="7" t="s">
        <v>839</v>
      </c>
      <c r="E118" s="7" t="s">
        <v>4</v>
      </c>
      <c r="F118" s="7" t="s">
        <v>840</v>
      </c>
      <c r="G118" s="8" t="n">
        <v>42769</v>
      </c>
      <c r="H118" s="7" t="s">
        <v>260</v>
      </c>
      <c r="I118" s="8"/>
      <c r="J118" s="7" t="s">
        <v>244</v>
      </c>
      <c r="K118" s="7" t="s">
        <v>252</v>
      </c>
      <c r="L118" s="7" t="s">
        <v>841</v>
      </c>
      <c r="M118" s="7" t="s">
        <v>254</v>
      </c>
      <c r="N118" s="7" t="n">
        <v>1</v>
      </c>
      <c r="O118" s="7" t="n">
        <v>1</v>
      </c>
      <c r="P118" s="7" t="str">
        <f aca="false">HYPERLINK("https://www.cqc.org.uk/location/1-3102351987","https://www.cqc.org.uk/location/1-3102351987")</f>
        <v>https://www.cqc.org.uk/location/1-3102351987</v>
      </c>
      <c r="Q118" s="7" t="s">
        <v>842</v>
      </c>
      <c r="R118" s="8" t="n">
        <v>46266</v>
      </c>
      <c r="S118" s="8" t="n">
        <v>46267</v>
      </c>
      <c r="T118" s="8" t="n">
        <v>46273</v>
      </c>
      <c r="U118" s="7" t="n">
        <v>38634</v>
      </c>
    </row>
    <row r="119" customFormat="false" ht="64" hidden="false" customHeight="true" outlineLevel="0" collapsed="false">
      <c r="A119" s="9" t="s">
        <v>843</v>
      </c>
      <c r="B119" s="9" t="s">
        <v>844</v>
      </c>
      <c r="C119" s="9" t="s">
        <v>845</v>
      </c>
      <c r="D119" s="9" t="s">
        <v>846</v>
      </c>
      <c r="E119" s="9" t="s">
        <v>4</v>
      </c>
      <c r="F119" s="9" t="s">
        <v>847</v>
      </c>
      <c r="G119" s="10" t="n">
        <v>45777</v>
      </c>
      <c r="H119" s="9"/>
      <c r="I119" s="10"/>
      <c r="J119" s="9"/>
      <c r="K119" s="9" t="s">
        <v>245</v>
      </c>
      <c r="L119" s="9" t="s">
        <v>848</v>
      </c>
      <c r="M119" s="9" t="s">
        <v>244</v>
      </c>
      <c r="N119" s="9" t="n">
        <v>2</v>
      </c>
      <c r="O119" s="9" t="n">
        <v>1</v>
      </c>
      <c r="P119" s="9" t="str">
        <f aca="false">HYPERLINK("https://www.cqc.org.uk/location/1-23017617450","https://www.cqc.org.uk/location/1-23017617450")</f>
        <v>https://www.cqc.org.uk/location/1-23017617450</v>
      </c>
      <c r="Q119" s="9" t="s">
        <v>849</v>
      </c>
      <c r="R119" s="10" t="n">
        <v>46266</v>
      </c>
      <c r="S119" s="10" t="n">
        <v>46267</v>
      </c>
      <c r="T119" s="10" t="n">
        <v>46273</v>
      </c>
      <c r="U119" s="9" t="n">
        <v>30282</v>
      </c>
    </row>
    <row r="120" customFormat="false" ht="64" hidden="false" customHeight="true" outlineLevel="0" collapsed="false">
      <c r="A120" s="7" t="s">
        <v>850</v>
      </c>
      <c r="B120" s="7" t="s">
        <v>851</v>
      </c>
      <c r="C120" s="7" t="s">
        <v>852</v>
      </c>
      <c r="D120" s="7" t="s">
        <v>853</v>
      </c>
      <c r="E120" s="7" t="s">
        <v>4</v>
      </c>
      <c r="F120" s="7" t="s">
        <v>854</v>
      </c>
      <c r="G120" s="8" t="n">
        <v>40612</v>
      </c>
      <c r="H120" s="7" t="s">
        <v>243</v>
      </c>
      <c r="I120" s="8" t="n">
        <v>44202</v>
      </c>
      <c r="J120" s="7" t="s">
        <v>244</v>
      </c>
      <c r="K120" s="7" t="s">
        <v>245</v>
      </c>
      <c r="L120" s="7" t="s">
        <v>855</v>
      </c>
      <c r="M120" s="7" t="s">
        <v>244</v>
      </c>
      <c r="N120" s="7" t="n">
        <v>1</v>
      </c>
      <c r="O120" s="7" t="n">
        <v>1</v>
      </c>
      <c r="P120" s="7" t="str">
        <f aca="false">HYPERLINK("https://www.cqc.org.uk/location/1-165023071","https://www.cqc.org.uk/location/1-165023071")</f>
        <v>https://www.cqc.org.uk/location/1-165023071</v>
      </c>
      <c r="Q120" s="7"/>
      <c r="R120" s="8" t="n">
        <v>46266</v>
      </c>
      <c r="S120" s="8" t="n">
        <v>46267</v>
      </c>
      <c r="T120" s="8" t="n">
        <v>46273</v>
      </c>
      <c r="U120" s="7" t="n">
        <v>17484</v>
      </c>
    </row>
    <row r="121" customFormat="false" ht="64" hidden="false" customHeight="true" outlineLevel="0" collapsed="false">
      <c r="A121" s="9" t="s">
        <v>856</v>
      </c>
      <c r="B121" s="9" t="s">
        <v>857</v>
      </c>
      <c r="C121" s="9" t="s">
        <v>858</v>
      </c>
      <c r="D121" s="9" t="s">
        <v>859</v>
      </c>
      <c r="E121" s="9" t="s">
        <v>4</v>
      </c>
      <c r="F121" s="9" t="s">
        <v>860</v>
      </c>
      <c r="G121" s="10" t="n">
        <v>45488</v>
      </c>
      <c r="H121" s="9"/>
      <c r="I121" s="10"/>
      <c r="J121" s="9"/>
      <c r="K121" s="9" t="s">
        <v>252</v>
      </c>
      <c r="L121" s="9" t="s">
        <v>848</v>
      </c>
      <c r="M121" s="9" t="s">
        <v>254</v>
      </c>
      <c r="N121" s="9" t="n">
        <v>1</v>
      </c>
      <c r="O121" s="9" t="n">
        <v>1</v>
      </c>
      <c r="P121" s="9" t="str">
        <f aca="false">HYPERLINK("https://www.cqc.org.uk/location/1-19272909269","https://www.cqc.org.uk/location/1-19272909269")</f>
        <v>https://www.cqc.org.uk/location/1-19272909269</v>
      </c>
      <c r="Q121" s="9"/>
      <c r="R121" s="10" t="n">
        <v>46266</v>
      </c>
      <c r="S121" s="10" t="n">
        <v>46267</v>
      </c>
      <c r="T121" s="10" t="n">
        <v>46273</v>
      </c>
      <c r="U121" s="9" t="n">
        <v>21926</v>
      </c>
    </row>
    <row r="122" customFormat="false" ht="64" hidden="false" customHeight="true" outlineLevel="0" collapsed="false">
      <c r="A122" s="7" t="s">
        <v>861</v>
      </c>
      <c r="B122" s="7" t="s">
        <v>862</v>
      </c>
      <c r="C122" s="7" t="s">
        <v>862</v>
      </c>
      <c r="D122" s="7" t="s">
        <v>863</v>
      </c>
      <c r="E122" s="7" t="s">
        <v>4</v>
      </c>
      <c r="F122" s="7" t="s">
        <v>864</v>
      </c>
      <c r="G122" s="8" t="n">
        <v>45098</v>
      </c>
      <c r="H122" s="7"/>
      <c r="I122" s="8"/>
      <c r="J122" s="7"/>
      <c r="K122" s="7" t="s">
        <v>245</v>
      </c>
      <c r="L122" s="7" t="s">
        <v>405</v>
      </c>
      <c r="M122" s="7" t="s">
        <v>244</v>
      </c>
      <c r="N122" s="7" t="n">
        <v>1</v>
      </c>
      <c r="O122" s="7" t="n">
        <v>1</v>
      </c>
      <c r="P122" s="7" t="str">
        <f aca="false">HYPERLINK("https://www.cqc.org.uk/location/1-15866949068","https://www.cqc.org.uk/location/1-15866949068")</f>
        <v>https://www.cqc.org.uk/location/1-15866949068</v>
      </c>
      <c r="Q122" s="7"/>
      <c r="R122" s="8" t="n">
        <v>46266</v>
      </c>
      <c r="S122" s="8" t="n">
        <v>46267</v>
      </c>
      <c r="T122" s="8" t="n">
        <v>46273</v>
      </c>
      <c r="U122" s="7" t="n">
        <v>16670</v>
      </c>
    </row>
    <row r="123" customFormat="false" ht="64" hidden="false" customHeight="true" outlineLevel="0" collapsed="false">
      <c r="A123" s="9" t="s">
        <v>865</v>
      </c>
      <c r="B123" s="9" t="s">
        <v>866</v>
      </c>
      <c r="C123" s="9" t="s">
        <v>867</v>
      </c>
      <c r="D123" s="9" t="s">
        <v>868</v>
      </c>
      <c r="E123" s="9" t="s">
        <v>4</v>
      </c>
      <c r="F123" s="9" t="s">
        <v>869</v>
      </c>
      <c r="G123" s="10" t="n">
        <v>44977</v>
      </c>
      <c r="H123" s="9"/>
      <c r="I123" s="10"/>
      <c r="J123" s="9"/>
      <c r="K123" s="9" t="s">
        <v>252</v>
      </c>
      <c r="L123" s="9" t="s">
        <v>386</v>
      </c>
      <c r="M123" s="9" t="s">
        <v>254</v>
      </c>
      <c r="N123" s="9" t="n">
        <v>1</v>
      </c>
      <c r="O123" s="9" t="n">
        <v>1</v>
      </c>
      <c r="P123" s="9" t="str">
        <f aca="false">HYPERLINK("https://www.cqc.org.uk/location/1-15047592226","https://www.cqc.org.uk/location/1-15047592226")</f>
        <v>https://www.cqc.org.uk/location/1-15047592226</v>
      </c>
      <c r="Q123" s="9" t="s">
        <v>870</v>
      </c>
      <c r="R123" s="10" t="n">
        <v>46266</v>
      </c>
      <c r="S123" s="10" t="n">
        <v>46267</v>
      </c>
      <c r="T123" s="10" t="n">
        <v>46273</v>
      </c>
      <c r="U123" s="9" t="n">
        <v>15286</v>
      </c>
    </row>
    <row r="124" customFormat="false" ht="64" hidden="false" customHeight="true" outlineLevel="0" collapsed="false">
      <c r="A124" s="7" t="s">
        <v>871</v>
      </c>
      <c r="B124" s="7" t="s">
        <v>872</v>
      </c>
      <c r="C124" s="7" t="s">
        <v>873</v>
      </c>
      <c r="D124" s="7" t="s">
        <v>874</v>
      </c>
      <c r="E124" s="7" t="s">
        <v>4</v>
      </c>
      <c r="F124" s="7" t="s">
        <v>875</v>
      </c>
      <c r="G124" s="8" t="n">
        <v>40624</v>
      </c>
      <c r="H124" s="7" t="s">
        <v>243</v>
      </c>
      <c r="I124" s="8" t="n">
        <v>43732</v>
      </c>
      <c r="J124" s="7" t="s">
        <v>244</v>
      </c>
      <c r="K124" s="7" t="s">
        <v>252</v>
      </c>
      <c r="L124" s="7" t="s">
        <v>427</v>
      </c>
      <c r="M124" s="7" t="s">
        <v>254</v>
      </c>
      <c r="N124" s="7" t="n">
        <v>1</v>
      </c>
      <c r="O124" s="7" t="n">
        <v>1</v>
      </c>
      <c r="P124" s="7" t="str">
        <f aca="false">HYPERLINK("https://www.cqc.org.uk/location/1-219868146","https://www.cqc.org.uk/location/1-219868146")</f>
        <v>https://www.cqc.org.uk/location/1-219868146</v>
      </c>
      <c r="Q124" s="7"/>
      <c r="R124" s="8" t="n">
        <v>46266</v>
      </c>
      <c r="S124" s="8" t="n">
        <v>46267</v>
      </c>
      <c r="T124" s="8" t="n">
        <v>46273</v>
      </c>
      <c r="U124" s="7" t="n">
        <v>28417</v>
      </c>
    </row>
    <row r="125" customFormat="false" ht="64" hidden="false" customHeight="true" outlineLevel="0" collapsed="false">
      <c r="A125" s="9" t="s">
        <v>876</v>
      </c>
      <c r="B125" s="9" t="s">
        <v>877</v>
      </c>
      <c r="C125" s="9" t="s">
        <v>878</v>
      </c>
      <c r="D125" s="9" t="s">
        <v>879</v>
      </c>
      <c r="E125" s="9" t="s">
        <v>4</v>
      </c>
      <c r="F125" s="9" t="s">
        <v>880</v>
      </c>
      <c r="G125" s="10" t="n">
        <v>41618</v>
      </c>
      <c r="H125" s="9" t="s">
        <v>268</v>
      </c>
      <c r="I125" s="10" t="n">
        <v>43572</v>
      </c>
      <c r="J125" s="9" t="s">
        <v>244</v>
      </c>
      <c r="K125" s="9" t="s">
        <v>245</v>
      </c>
      <c r="L125" s="9" t="s">
        <v>881</v>
      </c>
      <c r="M125" s="9" t="s">
        <v>244</v>
      </c>
      <c r="N125" s="9" t="n">
        <v>1</v>
      </c>
      <c r="O125" s="9" t="n">
        <v>1</v>
      </c>
      <c r="P125" s="9" t="str">
        <f aca="false">HYPERLINK("https://www.cqc.org.uk/location/1-1121614863","https://www.cqc.org.uk/location/1-1121614863")</f>
        <v>https://www.cqc.org.uk/location/1-1121614863</v>
      </c>
      <c r="Q125" s="9" t="s">
        <v>882</v>
      </c>
      <c r="R125" s="10" t="n">
        <v>46266</v>
      </c>
      <c r="S125" s="10" t="n">
        <v>46267</v>
      </c>
      <c r="T125" s="10" t="n">
        <v>46273</v>
      </c>
      <c r="U125" s="9" t="n">
        <v>2551</v>
      </c>
    </row>
    <row r="126" customFormat="false" ht="64" hidden="false" customHeight="true" outlineLevel="0" collapsed="false">
      <c r="A126" s="7" t="s">
        <v>883</v>
      </c>
      <c r="B126" s="7" t="s">
        <v>884</v>
      </c>
      <c r="C126" s="7" t="s">
        <v>884</v>
      </c>
      <c r="D126" s="7" t="s">
        <v>885</v>
      </c>
      <c r="E126" s="7" t="s">
        <v>4</v>
      </c>
      <c r="F126" s="7" t="s">
        <v>886</v>
      </c>
      <c r="G126" s="8" t="n">
        <v>45700</v>
      </c>
      <c r="H126" s="7"/>
      <c r="I126" s="8"/>
      <c r="J126" s="7"/>
      <c r="K126" s="7" t="s">
        <v>252</v>
      </c>
      <c r="L126" s="7" t="s">
        <v>887</v>
      </c>
      <c r="M126" s="7" t="s">
        <v>254</v>
      </c>
      <c r="N126" s="7" t="n">
        <v>1</v>
      </c>
      <c r="O126" s="7" t="n">
        <v>1</v>
      </c>
      <c r="P126" s="7" t="str">
        <f aca="false">HYPERLINK("https://www.cqc.org.uk/location/1-21725524987","https://www.cqc.org.uk/location/1-21725524987")</f>
        <v>https://www.cqc.org.uk/location/1-21725524987</v>
      </c>
      <c r="Q126" s="7" t="s">
        <v>888</v>
      </c>
      <c r="R126" s="8" t="n">
        <v>46266</v>
      </c>
      <c r="S126" s="8" t="n">
        <v>46267</v>
      </c>
      <c r="T126" s="8" t="n">
        <v>46273</v>
      </c>
      <c r="U126" s="7" t="n">
        <v>27912</v>
      </c>
    </row>
    <row r="127" customFormat="false" ht="64" hidden="false" customHeight="true" outlineLevel="0" collapsed="false">
      <c r="A127" s="9" t="s">
        <v>889</v>
      </c>
      <c r="B127" s="9" t="s">
        <v>890</v>
      </c>
      <c r="C127" s="9" t="s">
        <v>890</v>
      </c>
      <c r="D127" s="9" t="s">
        <v>891</v>
      </c>
      <c r="E127" s="9" t="s">
        <v>4</v>
      </c>
      <c r="F127" s="9" t="s">
        <v>892</v>
      </c>
      <c r="G127" s="10" t="n">
        <v>41029</v>
      </c>
      <c r="H127" s="9" t="s">
        <v>268</v>
      </c>
      <c r="I127" s="10" t="n">
        <v>43372</v>
      </c>
      <c r="J127" s="9" t="s">
        <v>244</v>
      </c>
      <c r="K127" s="9" t="s">
        <v>252</v>
      </c>
      <c r="L127" s="9" t="s">
        <v>315</v>
      </c>
      <c r="M127" s="9" t="s">
        <v>254</v>
      </c>
      <c r="N127" s="9" t="n">
        <v>1</v>
      </c>
      <c r="O127" s="9" t="n">
        <v>1</v>
      </c>
      <c r="P127" s="9" t="str">
        <f aca="false">HYPERLINK("https://www.cqc.org.uk/location/1-417039648","https://www.cqc.org.uk/location/1-417039648")</f>
        <v>https://www.cqc.org.uk/location/1-417039648</v>
      </c>
      <c r="Q127" s="9"/>
      <c r="R127" s="10" t="n">
        <v>46266</v>
      </c>
      <c r="S127" s="10" t="n">
        <v>46267</v>
      </c>
      <c r="T127" s="10" t="n">
        <v>46273</v>
      </c>
      <c r="U127" s="9" t="n">
        <v>41228</v>
      </c>
    </row>
    <row r="128" customFormat="false" ht="64" hidden="false" customHeight="true" outlineLevel="0" collapsed="false">
      <c r="A128" s="7" t="s">
        <v>893</v>
      </c>
      <c r="B128" s="7" t="s">
        <v>894</v>
      </c>
      <c r="C128" s="7" t="s">
        <v>894</v>
      </c>
      <c r="D128" s="7" t="s">
        <v>895</v>
      </c>
      <c r="E128" s="7" t="s">
        <v>4</v>
      </c>
      <c r="F128" s="7" t="s">
        <v>896</v>
      </c>
      <c r="G128" s="8" t="n">
        <v>44939</v>
      </c>
      <c r="H128" s="7"/>
      <c r="I128" s="8"/>
      <c r="J128" s="7"/>
      <c r="K128" s="7" t="s">
        <v>252</v>
      </c>
      <c r="L128" s="7" t="s">
        <v>269</v>
      </c>
      <c r="M128" s="7" t="s">
        <v>254</v>
      </c>
      <c r="N128" s="7" t="n">
        <v>1</v>
      </c>
      <c r="O128" s="7" t="n">
        <v>1</v>
      </c>
      <c r="P128" s="7" t="str">
        <f aca="false">HYPERLINK("https://www.cqc.org.uk/location/1-14540859231","https://www.cqc.org.uk/location/1-14540859231")</f>
        <v>https://www.cqc.org.uk/location/1-14540859231</v>
      </c>
      <c r="Q128" s="7" t="s">
        <v>897</v>
      </c>
      <c r="R128" s="8" t="n">
        <v>46266</v>
      </c>
      <c r="S128" s="8" t="n">
        <v>46267</v>
      </c>
      <c r="T128" s="8" t="n">
        <v>46273</v>
      </c>
      <c r="U128" s="7" t="n">
        <v>14275</v>
      </c>
    </row>
    <row r="129" customFormat="false" ht="64" hidden="false" customHeight="true" outlineLevel="0" collapsed="false">
      <c r="A129" s="9" t="s">
        <v>898</v>
      </c>
      <c r="B129" s="9" t="s">
        <v>899</v>
      </c>
      <c r="C129" s="9" t="s">
        <v>900</v>
      </c>
      <c r="D129" s="9" t="s">
        <v>901</v>
      </c>
      <c r="E129" s="9" t="s">
        <v>4</v>
      </c>
      <c r="F129" s="9" t="s">
        <v>583</v>
      </c>
      <c r="G129" s="10" t="n">
        <v>42872</v>
      </c>
      <c r="H129" s="9" t="s">
        <v>268</v>
      </c>
      <c r="I129" s="10" t="n">
        <v>43599</v>
      </c>
      <c r="J129" s="9" t="s">
        <v>244</v>
      </c>
      <c r="K129" s="9" t="s">
        <v>245</v>
      </c>
      <c r="L129" s="9" t="s">
        <v>386</v>
      </c>
      <c r="M129" s="9" t="s">
        <v>244</v>
      </c>
      <c r="N129" s="9" t="n">
        <v>3</v>
      </c>
      <c r="O129" s="9" t="n">
        <v>1</v>
      </c>
      <c r="P129" s="9" t="str">
        <f aca="false">HYPERLINK("https://www.cqc.org.uk/location/1-3618718602","https://www.cqc.org.uk/location/1-3618718602")</f>
        <v>https://www.cqc.org.uk/location/1-3618718602</v>
      </c>
      <c r="Q129" s="9" t="s">
        <v>902</v>
      </c>
      <c r="R129" s="10" t="n">
        <v>46266</v>
      </c>
      <c r="S129" s="10" t="n">
        <v>46267</v>
      </c>
      <c r="T129" s="10" t="n">
        <v>46273</v>
      </c>
      <c r="U129" s="9" t="n">
        <v>39875</v>
      </c>
    </row>
    <row r="130" customFormat="false" ht="64" hidden="false" customHeight="true" outlineLevel="0" collapsed="false">
      <c r="A130" s="7" t="s">
        <v>903</v>
      </c>
      <c r="B130" s="7" t="s">
        <v>904</v>
      </c>
      <c r="C130" s="7" t="s">
        <v>905</v>
      </c>
      <c r="D130" s="7" t="s">
        <v>906</v>
      </c>
      <c r="E130" s="7" t="s">
        <v>4</v>
      </c>
      <c r="F130" s="7" t="s">
        <v>907</v>
      </c>
      <c r="G130" s="8" t="n">
        <v>45730</v>
      </c>
      <c r="H130" s="7"/>
      <c r="I130" s="8"/>
      <c r="J130" s="7"/>
      <c r="K130" s="7" t="s">
        <v>245</v>
      </c>
      <c r="L130" s="7" t="s">
        <v>289</v>
      </c>
      <c r="M130" s="7" t="s">
        <v>244</v>
      </c>
      <c r="N130" s="7" t="n">
        <v>1</v>
      </c>
      <c r="O130" s="7" t="n">
        <v>1</v>
      </c>
      <c r="P130" s="7" t="str">
        <f aca="false">HYPERLINK("https://www.cqc.org.uk/location/1-22156393048","https://www.cqc.org.uk/location/1-22156393048")</f>
        <v>https://www.cqc.org.uk/location/1-22156393048</v>
      </c>
      <c r="Q130" s="7" t="s">
        <v>908</v>
      </c>
      <c r="R130" s="8" t="n">
        <v>46266</v>
      </c>
      <c r="S130" s="8" t="n">
        <v>46267</v>
      </c>
      <c r="T130" s="8" t="n">
        <v>46273</v>
      </c>
      <c r="U130" s="7" t="n">
        <v>29051</v>
      </c>
    </row>
    <row r="131" customFormat="false" ht="64" hidden="false" customHeight="true" outlineLevel="0" collapsed="false">
      <c r="A131" s="9" t="s">
        <v>909</v>
      </c>
      <c r="B131" s="9" t="s">
        <v>910</v>
      </c>
      <c r="C131" s="9" t="s">
        <v>911</v>
      </c>
      <c r="D131" s="9" t="s">
        <v>912</v>
      </c>
      <c r="E131" s="9" t="s">
        <v>4</v>
      </c>
      <c r="F131" s="9" t="s">
        <v>913</v>
      </c>
      <c r="G131" s="10" t="n">
        <v>42293</v>
      </c>
      <c r="H131" s="9" t="s">
        <v>268</v>
      </c>
      <c r="I131" s="10" t="n">
        <v>44393</v>
      </c>
      <c r="J131" s="9" t="s">
        <v>244</v>
      </c>
      <c r="K131" s="9" t="s">
        <v>914</v>
      </c>
      <c r="L131" s="9" t="s">
        <v>451</v>
      </c>
      <c r="M131" s="9" t="s">
        <v>244</v>
      </c>
      <c r="N131" s="9" t="n">
        <v>4</v>
      </c>
      <c r="O131" s="9" t="n">
        <v>1</v>
      </c>
      <c r="P131" s="9" t="str">
        <f aca="false">HYPERLINK("https://www.cqc.org.uk/location/1-2255899500","https://www.cqc.org.uk/location/1-2255899500")</f>
        <v>https://www.cqc.org.uk/location/1-2255899500</v>
      </c>
      <c r="Q131" s="9" t="s">
        <v>915</v>
      </c>
      <c r="R131" s="10" t="n">
        <v>46266</v>
      </c>
      <c r="S131" s="10" t="n">
        <v>46267</v>
      </c>
      <c r="T131" s="10" t="n">
        <v>46273</v>
      </c>
      <c r="U131" s="9" t="n">
        <v>29666</v>
      </c>
    </row>
    <row r="132" customFormat="false" ht="64" hidden="false" customHeight="true" outlineLevel="0" collapsed="false">
      <c r="A132" s="7" t="s">
        <v>916</v>
      </c>
      <c r="B132" s="7" t="s">
        <v>917</v>
      </c>
      <c r="C132" s="7" t="s">
        <v>918</v>
      </c>
      <c r="D132" s="7" t="s">
        <v>919</v>
      </c>
      <c r="E132" s="7" t="s">
        <v>4</v>
      </c>
      <c r="F132" s="7" t="s">
        <v>920</v>
      </c>
      <c r="G132" s="8" t="n">
        <v>44993</v>
      </c>
      <c r="H132" s="7"/>
      <c r="I132" s="8"/>
      <c r="J132" s="7"/>
      <c r="K132" s="7" t="s">
        <v>252</v>
      </c>
      <c r="L132" s="7" t="s">
        <v>921</v>
      </c>
      <c r="M132" s="7" t="s">
        <v>254</v>
      </c>
      <c r="N132" s="7" t="n">
        <v>2</v>
      </c>
      <c r="O132" s="7" t="n">
        <v>1</v>
      </c>
      <c r="P132" s="7" t="str">
        <f aca="false">HYPERLINK("https://www.cqc.org.uk/location/1-15119779487","https://www.cqc.org.uk/location/1-15119779487")</f>
        <v>https://www.cqc.org.uk/location/1-15119779487</v>
      </c>
      <c r="Q132" s="7" t="s">
        <v>922</v>
      </c>
      <c r="R132" s="8" t="n">
        <v>46266</v>
      </c>
      <c r="S132" s="8" t="n">
        <v>46267</v>
      </c>
      <c r="T132" s="8" t="n">
        <v>46273</v>
      </c>
      <c r="U132" s="7" t="n">
        <v>15442</v>
      </c>
    </row>
    <row r="133" customFormat="false" ht="64" hidden="false" customHeight="true" outlineLevel="0" collapsed="false">
      <c r="A133" s="9" t="s">
        <v>128</v>
      </c>
      <c r="B133" s="9" t="s">
        <v>129</v>
      </c>
      <c r="C133" s="9" t="s">
        <v>123</v>
      </c>
      <c r="D133" s="9" t="s">
        <v>127</v>
      </c>
      <c r="E133" s="9" t="s">
        <v>4</v>
      </c>
      <c r="F133" s="9" t="s">
        <v>923</v>
      </c>
      <c r="G133" s="10" t="n">
        <v>45044</v>
      </c>
      <c r="H133" s="9"/>
      <c r="I133" s="10"/>
      <c r="J133" s="9"/>
      <c r="K133" s="9" t="s">
        <v>245</v>
      </c>
      <c r="L133" s="9" t="s">
        <v>269</v>
      </c>
      <c r="M133" s="9" t="s">
        <v>244</v>
      </c>
      <c r="N133" s="9" t="n">
        <v>2</v>
      </c>
      <c r="O133" s="9" t="n">
        <v>2</v>
      </c>
      <c r="P133" s="9" t="str">
        <f aca="false">HYPERLINK("https://www.cqc.org.uk/location/1-15550434100","https://www.cqc.org.uk/location/1-15550434100")</f>
        <v>https://www.cqc.org.uk/location/1-15550434100</v>
      </c>
      <c r="Q133" s="9"/>
      <c r="R133" s="10" t="n">
        <v>46266</v>
      </c>
      <c r="S133" s="10" t="n">
        <v>46267</v>
      </c>
      <c r="T133" s="10" t="n">
        <v>46273</v>
      </c>
      <c r="U133" s="9" t="n">
        <v>16331</v>
      </c>
    </row>
    <row r="134" customFormat="false" ht="64" hidden="false" customHeight="true" outlineLevel="0" collapsed="false">
      <c r="A134" s="7" t="s">
        <v>924</v>
      </c>
      <c r="B134" s="7" t="s">
        <v>123</v>
      </c>
      <c r="C134" s="7" t="s">
        <v>123</v>
      </c>
      <c r="D134" s="7" t="s">
        <v>127</v>
      </c>
      <c r="E134" s="7" t="s">
        <v>4</v>
      </c>
      <c r="F134" s="7" t="s">
        <v>925</v>
      </c>
      <c r="G134" s="8" t="n">
        <v>40956</v>
      </c>
      <c r="H134" s="7" t="s">
        <v>268</v>
      </c>
      <c r="I134" s="8" t="n">
        <v>44691</v>
      </c>
      <c r="J134" s="7" t="s">
        <v>244</v>
      </c>
      <c r="K134" s="7" t="s">
        <v>245</v>
      </c>
      <c r="L134" s="7" t="s">
        <v>471</v>
      </c>
      <c r="M134" s="7" t="s">
        <v>244</v>
      </c>
      <c r="N134" s="7" t="n">
        <v>2</v>
      </c>
      <c r="O134" s="7" t="n">
        <v>2</v>
      </c>
      <c r="P134" s="7" t="str">
        <f aca="false">HYPERLINK("https://www.cqc.org.uk/location/1-356657455","https://www.cqc.org.uk/location/1-356657455")</f>
        <v>https://www.cqc.org.uk/location/1-356657455</v>
      </c>
      <c r="Q134" s="7"/>
      <c r="R134" s="8" t="n">
        <v>46266</v>
      </c>
      <c r="S134" s="8" t="n">
        <v>46267</v>
      </c>
      <c r="T134" s="8" t="n">
        <v>46273</v>
      </c>
      <c r="U134" s="7" t="n">
        <v>39723</v>
      </c>
    </row>
    <row r="135" customFormat="false" ht="64" hidden="false" customHeight="true" outlineLevel="0" collapsed="false">
      <c r="A135" s="9" t="s">
        <v>926</v>
      </c>
      <c r="B135" s="9" t="s">
        <v>927</v>
      </c>
      <c r="C135" s="9" t="s">
        <v>927</v>
      </c>
      <c r="D135" s="9" t="s">
        <v>928</v>
      </c>
      <c r="E135" s="9" t="s">
        <v>4</v>
      </c>
      <c r="F135" s="9" t="s">
        <v>737</v>
      </c>
      <c r="G135" s="10" t="n">
        <v>43439</v>
      </c>
      <c r="H135" s="9" t="s">
        <v>268</v>
      </c>
      <c r="I135" s="10" t="n">
        <v>44660</v>
      </c>
      <c r="J135" s="9" t="s">
        <v>244</v>
      </c>
      <c r="K135" s="9" t="s">
        <v>252</v>
      </c>
      <c r="L135" s="9" t="s">
        <v>386</v>
      </c>
      <c r="M135" s="9" t="s">
        <v>254</v>
      </c>
      <c r="N135" s="9" t="n">
        <v>1</v>
      </c>
      <c r="O135" s="9" t="n">
        <v>1</v>
      </c>
      <c r="P135" s="9" t="str">
        <f aca="false">HYPERLINK("https://www.cqc.org.uk/location/1-6119182031","https://www.cqc.org.uk/location/1-6119182031")</f>
        <v>https://www.cqc.org.uk/location/1-6119182031</v>
      </c>
      <c r="Q135" s="9" t="s">
        <v>929</v>
      </c>
      <c r="R135" s="10" t="n">
        <v>46266</v>
      </c>
      <c r="S135" s="10" t="n">
        <v>46267</v>
      </c>
      <c r="T135" s="10" t="n">
        <v>46273</v>
      </c>
      <c r="U135" s="9" t="n">
        <v>49320</v>
      </c>
    </row>
    <row r="136" customFormat="false" ht="64" hidden="false" customHeight="true" outlineLevel="0" collapsed="false">
      <c r="A136" s="7" t="s">
        <v>930</v>
      </c>
      <c r="B136" s="7" t="s">
        <v>931</v>
      </c>
      <c r="C136" s="7" t="s">
        <v>931</v>
      </c>
      <c r="D136" s="7" t="s">
        <v>932</v>
      </c>
      <c r="E136" s="7" t="s">
        <v>4</v>
      </c>
      <c r="F136" s="7" t="s">
        <v>933</v>
      </c>
      <c r="G136" s="8" t="n">
        <v>43441</v>
      </c>
      <c r="H136" s="7" t="s">
        <v>268</v>
      </c>
      <c r="I136" s="8" t="n">
        <v>44394</v>
      </c>
      <c r="J136" s="7" t="s">
        <v>244</v>
      </c>
      <c r="K136" s="7" t="s">
        <v>252</v>
      </c>
      <c r="L136" s="7" t="s">
        <v>386</v>
      </c>
      <c r="M136" s="7" t="s">
        <v>254</v>
      </c>
      <c r="N136" s="7" t="n">
        <v>1</v>
      </c>
      <c r="O136" s="7" t="n">
        <v>1</v>
      </c>
      <c r="P136" s="7" t="str">
        <f aca="false">HYPERLINK("https://www.cqc.org.uk/location/1-5459812347","https://www.cqc.org.uk/location/1-5459812347")</f>
        <v>https://www.cqc.org.uk/location/1-5459812347</v>
      </c>
      <c r="Q136" s="7" t="s">
        <v>934</v>
      </c>
      <c r="R136" s="8" t="n">
        <v>46266</v>
      </c>
      <c r="S136" s="8" t="n">
        <v>46267</v>
      </c>
      <c r="T136" s="8" t="n">
        <v>46273</v>
      </c>
      <c r="U136" s="7" t="n">
        <v>45559</v>
      </c>
    </row>
    <row r="137" customFormat="false" ht="64" hidden="false" customHeight="true" outlineLevel="0" collapsed="false">
      <c r="A137" s="9" t="s">
        <v>935</v>
      </c>
      <c r="B137" s="9" t="s">
        <v>936</v>
      </c>
      <c r="C137" s="9" t="s">
        <v>936</v>
      </c>
      <c r="D137" s="9" t="s">
        <v>937</v>
      </c>
      <c r="E137" s="9" t="s">
        <v>4</v>
      </c>
      <c r="F137" s="9" t="s">
        <v>933</v>
      </c>
      <c r="G137" s="10" t="n">
        <v>42317</v>
      </c>
      <c r="H137" s="9" t="s">
        <v>268</v>
      </c>
      <c r="I137" s="10" t="n">
        <v>43623</v>
      </c>
      <c r="J137" s="9" t="s">
        <v>244</v>
      </c>
      <c r="K137" s="9" t="s">
        <v>252</v>
      </c>
      <c r="L137" s="9" t="s">
        <v>938</v>
      </c>
      <c r="M137" s="9" t="s">
        <v>254</v>
      </c>
      <c r="N137" s="9" t="n">
        <v>1</v>
      </c>
      <c r="O137" s="9" t="n">
        <v>1</v>
      </c>
      <c r="P137" s="9" t="str">
        <f aca="false">HYPERLINK("https://www.cqc.org.uk/location/1-2280337989","https://www.cqc.org.uk/location/1-2280337989")</f>
        <v>https://www.cqc.org.uk/location/1-2280337989</v>
      </c>
      <c r="Q137" s="9" t="s">
        <v>939</v>
      </c>
      <c r="R137" s="10" t="n">
        <v>46266</v>
      </c>
      <c r="S137" s="10" t="n">
        <v>46267</v>
      </c>
      <c r="T137" s="10" t="n">
        <v>46273</v>
      </c>
      <c r="U137" s="9" t="n">
        <v>29941</v>
      </c>
    </row>
    <row r="138" customFormat="false" ht="64" hidden="false" customHeight="true" outlineLevel="0" collapsed="false">
      <c r="A138" s="7" t="s">
        <v>940</v>
      </c>
      <c r="B138" s="7" t="s">
        <v>941</v>
      </c>
      <c r="C138" s="7" t="s">
        <v>942</v>
      </c>
      <c r="D138" s="7" t="s">
        <v>943</v>
      </c>
      <c r="E138" s="7" t="s">
        <v>4</v>
      </c>
      <c r="F138" s="7" t="s">
        <v>809</v>
      </c>
      <c r="G138" s="8" t="n">
        <v>43164</v>
      </c>
      <c r="H138" s="7" t="s">
        <v>268</v>
      </c>
      <c r="I138" s="8" t="n">
        <v>44363</v>
      </c>
      <c r="J138" s="7" t="s">
        <v>244</v>
      </c>
      <c r="K138" s="7" t="s">
        <v>252</v>
      </c>
      <c r="L138" s="7" t="s">
        <v>539</v>
      </c>
      <c r="M138" s="7" t="s">
        <v>254</v>
      </c>
      <c r="N138" s="7" t="n">
        <v>2</v>
      </c>
      <c r="O138" s="7" t="n">
        <v>1</v>
      </c>
      <c r="P138" s="7" t="str">
        <f aca="false">HYPERLINK("https://www.cqc.org.uk/location/1-4933444329","https://www.cqc.org.uk/location/1-4933444329")</f>
        <v>https://www.cqc.org.uk/location/1-4933444329</v>
      </c>
      <c r="Q138" s="7" t="s">
        <v>944</v>
      </c>
      <c r="R138" s="8" t="n">
        <v>46266</v>
      </c>
      <c r="S138" s="8" t="n">
        <v>46267</v>
      </c>
      <c r="T138" s="8" t="n">
        <v>46273</v>
      </c>
      <c r="U138" s="7" t="n">
        <v>43165</v>
      </c>
    </row>
    <row r="139" customFormat="false" ht="64" hidden="false" customHeight="true" outlineLevel="0" collapsed="false">
      <c r="A139" s="9" t="s">
        <v>945</v>
      </c>
      <c r="B139" s="9" t="s">
        <v>946</v>
      </c>
      <c r="C139" s="9" t="s">
        <v>946</v>
      </c>
      <c r="D139" s="9" t="s">
        <v>947</v>
      </c>
      <c r="E139" s="9" t="s">
        <v>4</v>
      </c>
      <c r="F139" s="9" t="s">
        <v>948</v>
      </c>
      <c r="G139" s="10" t="n">
        <v>44652</v>
      </c>
      <c r="H139" s="9"/>
      <c r="I139" s="10"/>
      <c r="J139" s="9"/>
      <c r="K139" s="9" t="s">
        <v>245</v>
      </c>
      <c r="L139" s="9" t="s">
        <v>805</v>
      </c>
      <c r="M139" s="9" t="s">
        <v>244</v>
      </c>
      <c r="N139" s="9" t="n">
        <v>1</v>
      </c>
      <c r="O139" s="9" t="n">
        <v>1</v>
      </c>
      <c r="P139" s="9" t="str">
        <f aca="false">HYPERLINK("https://www.cqc.org.uk/location/1-12877967110","https://www.cqc.org.uk/location/1-12877967110")</f>
        <v>https://www.cqc.org.uk/location/1-12877967110</v>
      </c>
      <c r="Q139" s="9"/>
      <c r="R139" s="10" t="n">
        <v>46266</v>
      </c>
      <c r="S139" s="10" t="n">
        <v>46267</v>
      </c>
      <c r="T139" s="10" t="n">
        <v>46273</v>
      </c>
      <c r="U139" s="9" t="n">
        <v>9609</v>
      </c>
    </row>
    <row r="140" customFormat="false" ht="64" hidden="false" customHeight="true" outlineLevel="0" collapsed="false">
      <c r="A140" s="7" t="s">
        <v>949</v>
      </c>
      <c r="B140" s="7" t="s">
        <v>950</v>
      </c>
      <c r="C140" s="7" t="s">
        <v>950</v>
      </c>
      <c r="D140" s="7" t="s">
        <v>951</v>
      </c>
      <c r="E140" s="7" t="s">
        <v>4</v>
      </c>
      <c r="F140" s="7" t="s">
        <v>403</v>
      </c>
      <c r="G140" s="8" t="n">
        <v>44351</v>
      </c>
      <c r="H140" s="7" t="s">
        <v>268</v>
      </c>
      <c r="I140" s="8" t="n">
        <v>45280</v>
      </c>
      <c r="J140" s="7" t="s">
        <v>244</v>
      </c>
      <c r="K140" s="7" t="s">
        <v>252</v>
      </c>
      <c r="L140" s="7" t="s">
        <v>634</v>
      </c>
      <c r="M140" s="7" t="s">
        <v>254</v>
      </c>
      <c r="N140" s="7" t="n">
        <v>1</v>
      </c>
      <c r="O140" s="7" t="n">
        <v>1</v>
      </c>
      <c r="P140" s="7" t="str">
        <f aca="false">HYPERLINK("https://www.cqc.org.uk/location/1-11005278255","https://www.cqc.org.uk/location/1-11005278255")</f>
        <v>https://www.cqc.org.uk/location/1-11005278255</v>
      </c>
      <c r="Q140" s="7"/>
      <c r="R140" s="8" t="n">
        <v>46266</v>
      </c>
      <c r="S140" s="8" t="n">
        <v>46267</v>
      </c>
      <c r="T140" s="8" t="n">
        <v>46273</v>
      </c>
      <c r="U140" s="7" t="n">
        <v>1947</v>
      </c>
    </row>
    <row r="141" customFormat="false" ht="64" hidden="false" customHeight="true" outlineLevel="0" collapsed="false">
      <c r="A141" s="9" t="s">
        <v>952</v>
      </c>
      <c r="B141" s="9" t="s">
        <v>953</v>
      </c>
      <c r="C141" s="9" t="s">
        <v>953</v>
      </c>
      <c r="D141" s="9" t="s">
        <v>954</v>
      </c>
      <c r="E141" s="9" t="s">
        <v>4</v>
      </c>
      <c r="F141" s="9" t="s">
        <v>955</v>
      </c>
      <c r="G141" s="10" t="n">
        <v>45180</v>
      </c>
      <c r="H141" s="9"/>
      <c r="I141" s="10"/>
      <c r="J141" s="9"/>
      <c r="K141" s="9" t="s">
        <v>245</v>
      </c>
      <c r="L141" s="9" t="s">
        <v>289</v>
      </c>
      <c r="M141" s="9" t="s">
        <v>244</v>
      </c>
      <c r="N141" s="9" t="n">
        <v>1</v>
      </c>
      <c r="O141" s="9" t="n">
        <v>1</v>
      </c>
      <c r="P141" s="9" t="str">
        <f aca="false">HYPERLINK("https://www.cqc.org.uk/location/1-17190025195","https://www.cqc.org.uk/location/1-17190025195")</f>
        <v>https://www.cqc.org.uk/location/1-17190025195</v>
      </c>
      <c r="Q141" s="9" t="s">
        <v>956</v>
      </c>
      <c r="R141" s="10" t="n">
        <v>46266</v>
      </c>
      <c r="S141" s="10" t="n">
        <v>46267</v>
      </c>
      <c r="T141" s="10" t="n">
        <v>46273</v>
      </c>
      <c r="U141" s="9" t="n">
        <v>18121</v>
      </c>
    </row>
    <row r="142" customFormat="false" ht="64" hidden="false" customHeight="true" outlineLevel="0" collapsed="false">
      <c r="A142" s="7" t="s">
        <v>957</v>
      </c>
      <c r="B142" s="7" t="s">
        <v>958</v>
      </c>
      <c r="C142" s="7" t="s">
        <v>959</v>
      </c>
      <c r="D142" s="7" t="s">
        <v>960</v>
      </c>
      <c r="E142" s="7" t="s">
        <v>4</v>
      </c>
      <c r="F142" s="7" t="s">
        <v>433</v>
      </c>
      <c r="G142" s="8" t="n">
        <v>45160</v>
      </c>
      <c r="H142" s="7"/>
      <c r="I142" s="8"/>
      <c r="J142" s="7"/>
      <c r="K142" s="7" t="s">
        <v>245</v>
      </c>
      <c r="L142" s="7" t="s">
        <v>405</v>
      </c>
      <c r="M142" s="7" t="s">
        <v>244</v>
      </c>
      <c r="N142" s="7" t="n">
        <v>1</v>
      </c>
      <c r="O142" s="7" t="n">
        <v>1</v>
      </c>
      <c r="P142" s="7" t="str">
        <f aca="false">HYPERLINK("https://www.cqc.org.uk/location/1-16954979936","https://www.cqc.org.uk/location/1-16954979936")</f>
        <v>https://www.cqc.org.uk/location/1-16954979936</v>
      </c>
      <c r="Q142" s="7"/>
      <c r="R142" s="8" t="n">
        <v>46266</v>
      </c>
      <c r="S142" s="8" t="n">
        <v>46267</v>
      </c>
      <c r="T142" s="8" t="n">
        <v>46273</v>
      </c>
      <c r="U142" s="7" t="n">
        <v>17853</v>
      </c>
    </row>
    <row r="143" customFormat="false" ht="64" hidden="false" customHeight="true" outlineLevel="0" collapsed="false">
      <c r="A143" s="9" t="s">
        <v>961</v>
      </c>
      <c r="B143" s="9" t="s">
        <v>962</v>
      </c>
      <c r="C143" s="9" t="s">
        <v>963</v>
      </c>
      <c r="D143" s="9" t="s">
        <v>964</v>
      </c>
      <c r="E143" s="9" t="s">
        <v>4</v>
      </c>
      <c r="F143" s="9" t="s">
        <v>965</v>
      </c>
      <c r="G143" s="10" t="n">
        <v>43277</v>
      </c>
      <c r="H143" s="9" t="s">
        <v>243</v>
      </c>
      <c r="I143" s="10" t="n">
        <v>44610</v>
      </c>
      <c r="J143" s="9" t="s">
        <v>244</v>
      </c>
      <c r="K143" s="9" t="s">
        <v>245</v>
      </c>
      <c r="L143" s="9" t="s">
        <v>772</v>
      </c>
      <c r="M143" s="9" t="s">
        <v>244</v>
      </c>
      <c r="N143" s="9" t="n">
        <v>1</v>
      </c>
      <c r="O143" s="9" t="n">
        <v>1</v>
      </c>
      <c r="P143" s="9" t="str">
        <f aca="false">HYPERLINK("https://www.cqc.org.uk/location/1-5398974195","https://www.cqc.org.uk/location/1-5398974195")</f>
        <v>https://www.cqc.org.uk/location/1-5398974195</v>
      </c>
      <c r="Q143" s="9" t="s">
        <v>966</v>
      </c>
      <c r="R143" s="10" t="n">
        <v>46266</v>
      </c>
      <c r="S143" s="10" t="n">
        <v>46267</v>
      </c>
      <c r="T143" s="10" t="n">
        <v>46273</v>
      </c>
      <c r="U143" s="9" t="n">
        <v>44422</v>
      </c>
    </row>
    <row r="144" customFormat="false" ht="64" hidden="false" customHeight="true" outlineLevel="0" collapsed="false">
      <c r="A144" s="7" t="s">
        <v>967</v>
      </c>
      <c r="B144" s="7" t="s">
        <v>968</v>
      </c>
      <c r="C144" s="7" t="s">
        <v>969</v>
      </c>
      <c r="D144" s="7" t="s">
        <v>970</v>
      </c>
      <c r="E144" s="7" t="s">
        <v>4</v>
      </c>
      <c r="F144" s="7" t="s">
        <v>971</v>
      </c>
      <c r="G144" s="8" t="n">
        <v>40554</v>
      </c>
      <c r="H144" s="7" t="s">
        <v>268</v>
      </c>
      <c r="I144" s="8" t="n">
        <v>43568</v>
      </c>
      <c r="J144" s="7" t="s">
        <v>244</v>
      </c>
      <c r="K144" s="7" t="s">
        <v>252</v>
      </c>
      <c r="L144" s="7" t="s">
        <v>364</v>
      </c>
      <c r="M144" s="7" t="s">
        <v>254</v>
      </c>
      <c r="N144" s="7" t="n">
        <v>1</v>
      </c>
      <c r="O144" s="7" t="n">
        <v>1</v>
      </c>
      <c r="P144" s="7" t="str">
        <f aca="false">HYPERLINK("https://www.cqc.org.uk/location/1-141984666","https://www.cqc.org.uk/location/1-141984666")</f>
        <v>https://www.cqc.org.uk/location/1-141984666</v>
      </c>
      <c r="Q144" s="7" t="s">
        <v>972</v>
      </c>
      <c r="R144" s="8" t="n">
        <v>46266</v>
      </c>
      <c r="S144" s="8" t="n">
        <v>46267</v>
      </c>
      <c r="T144" s="8" t="n">
        <v>46273</v>
      </c>
      <c r="U144" s="7" t="n">
        <v>13463</v>
      </c>
    </row>
    <row r="145" customFormat="false" ht="64" hidden="false" customHeight="true" outlineLevel="0" collapsed="false">
      <c r="A145" s="9" t="s">
        <v>973</v>
      </c>
      <c r="B145" s="9" t="s">
        <v>974</v>
      </c>
      <c r="C145" s="9" t="s">
        <v>974</v>
      </c>
      <c r="D145" s="9" t="s">
        <v>975</v>
      </c>
      <c r="E145" s="9" t="s">
        <v>4</v>
      </c>
      <c r="F145" s="9" t="s">
        <v>976</v>
      </c>
      <c r="G145" s="10" t="n">
        <v>45139</v>
      </c>
      <c r="H145" s="9"/>
      <c r="I145" s="10"/>
      <c r="J145" s="9"/>
      <c r="K145" s="9" t="s">
        <v>245</v>
      </c>
      <c r="L145" s="9" t="s">
        <v>280</v>
      </c>
      <c r="M145" s="9" t="s">
        <v>244</v>
      </c>
      <c r="N145" s="9" t="n">
        <v>1</v>
      </c>
      <c r="O145" s="9" t="n">
        <v>1</v>
      </c>
      <c r="P145" s="9" t="str">
        <f aca="false">HYPERLINK("https://www.cqc.org.uk/location/1-15992705427","https://www.cqc.org.uk/location/1-15992705427")</f>
        <v>https://www.cqc.org.uk/location/1-15992705427</v>
      </c>
      <c r="Q145" s="9" t="s">
        <v>977</v>
      </c>
      <c r="R145" s="10" t="n">
        <v>46266</v>
      </c>
      <c r="S145" s="10" t="n">
        <v>46267</v>
      </c>
      <c r="T145" s="10" t="n">
        <v>46273</v>
      </c>
      <c r="U145" s="9" t="n">
        <v>16931</v>
      </c>
    </row>
    <row r="146" customFormat="false" ht="64" hidden="false" customHeight="true" outlineLevel="0" collapsed="false">
      <c r="A146" s="7" t="s">
        <v>978</v>
      </c>
      <c r="B146" s="7" t="s">
        <v>979</v>
      </c>
      <c r="C146" s="7" t="s">
        <v>980</v>
      </c>
      <c r="D146" s="7" t="s">
        <v>981</v>
      </c>
      <c r="E146" s="7" t="s">
        <v>4</v>
      </c>
      <c r="F146" s="7" t="s">
        <v>982</v>
      </c>
      <c r="G146" s="8" t="n">
        <v>43003</v>
      </c>
      <c r="H146" s="7" t="s">
        <v>268</v>
      </c>
      <c r="I146" s="8" t="n">
        <v>46139</v>
      </c>
      <c r="J146" s="7" t="s">
        <v>244</v>
      </c>
      <c r="K146" s="7" t="s">
        <v>245</v>
      </c>
      <c r="L146" s="7" t="s">
        <v>464</v>
      </c>
      <c r="M146" s="7" t="s">
        <v>244</v>
      </c>
      <c r="N146" s="7" t="n">
        <v>1</v>
      </c>
      <c r="O146" s="7" t="n">
        <v>1</v>
      </c>
      <c r="P146" s="7" t="str">
        <f aca="false">HYPERLINK("https://www.cqc.org.uk/location/1-4323018813","https://www.cqc.org.uk/location/1-4323018813")</f>
        <v>https://www.cqc.org.uk/location/1-4323018813</v>
      </c>
      <c r="Q146" s="7"/>
      <c r="R146" s="8" t="n">
        <v>46266</v>
      </c>
      <c r="S146" s="8" t="n">
        <v>46267</v>
      </c>
      <c r="T146" s="8" t="n">
        <v>46273</v>
      </c>
      <c r="U146" s="7" t="n">
        <v>41639</v>
      </c>
    </row>
    <row r="147" customFormat="false" ht="64" hidden="false" customHeight="true" outlineLevel="0" collapsed="false">
      <c r="A147" s="9" t="s">
        <v>983</v>
      </c>
      <c r="B147" s="9" t="s">
        <v>984</v>
      </c>
      <c r="C147" s="9" t="s">
        <v>984</v>
      </c>
      <c r="D147" s="9" t="s">
        <v>985</v>
      </c>
      <c r="E147" s="9" t="s">
        <v>4</v>
      </c>
      <c r="F147" s="9" t="s">
        <v>986</v>
      </c>
      <c r="G147" s="10" t="n">
        <v>45868</v>
      </c>
      <c r="H147" s="9"/>
      <c r="I147" s="10"/>
      <c r="J147" s="9"/>
      <c r="K147" s="9" t="s">
        <v>245</v>
      </c>
      <c r="L147" s="9" t="s">
        <v>289</v>
      </c>
      <c r="M147" s="9" t="s">
        <v>244</v>
      </c>
      <c r="N147" s="9" t="n">
        <v>1</v>
      </c>
      <c r="O147" s="9" t="n">
        <v>1</v>
      </c>
      <c r="P147" s="9" t="str">
        <f aca="false">HYPERLINK("https://www.cqc.org.uk/location/1-24221293924","https://www.cqc.org.uk/location/1-24221293924")</f>
        <v>https://www.cqc.org.uk/location/1-24221293924</v>
      </c>
      <c r="Q147" s="9"/>
      <c r="R147" s="10" t="n">
        <v>46266</v>
      </c>
      <c r="S147" s="10" t="n">
        <v>46267</v>
      </c>
      <c r="T147" s="10" t="n">
        <v>46273</v>
      </c>
      <c r="U147" s="9" t="n">
        <v>31882</v>
      </c>
    </row>
    <row r="148" customFormat="false" ht="64" hidden="false" customHeight="true" outlineLevel="0" collapsed="false">
      <c r="A148" s="7" t="s">
        <v>987</v>
      </c>
      <c r="B148" s="7" t="s">
        <v>988</v>
      </c>
      <c r="C148" s="7" t="s">
        <v>988</v>
      </c>
      <c r="D148" s="7" t="s">
        <v>989</v>
      </c>
      <c r="E148" s="7" t="s">
        <v>4</v>
      </c>
      <c r="F148" s="7" t="s">
        <v>990</v>
      </c>
      <c r="G148" s="8" t="n">
        <v>41544</v>
      </c>
      <c r="H148" s="7" t="s">
        <v>268</v>
      </c>
      <c r="I148" s="8" t="n">
        <v>43635</v>
      </c>
      <c r="J148" s="7" t="s">
        <v>244</v>
      </c>
      <c r="K148" s="7" t="s">
        <v>245</v>
      </c>
      <c r="L148" s="7" t="s">
        <v>405</v>
      </c>
      <c r="M148" s="7" t="s">
        <v>244</v>
      </c>
      <c r="N148" s="7" t="n">
        <v>1</v>
      </c>
      <c r="O148" s="7" t="n">
        <v>1</v>
      </c>
      <c r="P148" s="7" t="str">
        <f aca="false">HYPERLINK("https://www.cqc.org.uk/location/1-975689896","https://www.cqc.org.uk/location/1-975689896")</f>
        <v>https://www.cqc.org.uk/location/1-975689896</v>
      </c>
      <c r="Q148" s="7"/>
      <c r="R148" s="8" t="n">
        <v>46266</v>
      </c>
      <c r="S148" s="8" t="n">
        <v>46267</v>
      </c>
      <c r="T148" s="8" t="n">
        <v>46273</v>
      </c>
      <c r="U148" s="7" t="n">
        <v>54919</v>
      </c>
    </row>
    <row r="149" customFormat="false" ht="64" hidden="false" customHeight="true" outlineLevel="0" collapsed="false">
      <c r="A149" s="9" t="s">
        <v>991</v>
      </c>
      <c r="B149" s="9" t="s">
        <v>992</v>
      </c>
      <c r="C149" s="9" t="s">
        <v>993</v>
      </c>
      <c r="D149" s="9" t="s">
        <v>994</v>
      </c>
      <c r="E149" s="9" t="s">
        <v>4</v>
      </c>
      <c r="F149" s="9" t="s">
        <v>784</v>
      </c>
      <c r="G149" s="10" t="n">
        <v>42478</v>
      </c>
      <c r="H149" s="9" t="s">
        <v>260</v>
      </c>
      <c r="I149" s="10"/>
      <c r="J149" s="9" t="s">
        <v>244</v>
      </c>
      <c r="K149" s="9" t="s">
        <v>252</v>
      </c>
      <c r="L149" s="9" t="s">
        <v>451</v>
      </c>
      <c r="M149" s="9" t="s">
        <v>254</v>
      </c>
      <c r="N149" s="9" t="n">
        <v>1</v>
      </c>
      <c r="O149" s="9" t="n">
        <v>1</v>
      </c>
      <c r="P149" s="9" t="str">
        <f aca="false">HYPERLINK("https://www.cqc.org.uk/location/1-2582443727","https://www.cqc.org.uk/location/1-2582443727")</f>
        <v>https://www.cqc.org.uk/location/1-2582443727</v>
      </c>
      <c r="Q149" s="9" t="s">
        <v>995</v>
      </c>
      <c r="R149" s="10" t="n">
        <v>46266</v>
      </c>
      <c r="S149" s="10" t="n">
        <v>46267</v>
      </c>
      <c r="T149" s="10" t="n">
        <v>46273</v>
      </c>
      <c r="U149" s="9" t="n">
        <v>33961</v>
      </c>
    </row>
    <row r="150" customFormat="false" ht="64" hidden="false" customHeight="true" outlineLevel="0" collapsed="false">
      <c r="A150" s="7" t="s">
        <v>996</v>
      </c>
      <c r="B150" s="7" t="s">
        <v>997</v>
      </c>
      <c r="C150" s="7" t="s">
        <v>998</v>
      </c>
      <c r="D150" s="7" t="s">
        <v>999</v>
      </c>
      <c r="E150" s="7" t="s">
        <v>4</v>
      </c>
      <c r="F150" s="7" t="s">
        <v>1000</v>
      </c>
      <c r="G150" s="8" t="n">
        <v>44628</v>
      </c>
      <c r="H150" s="7"/>
      <c r="I150" s="8"/>
      <c r="J150" s="7"/>
      <c r="K150" s="7" t="s">
        <v>252</v>
      </c>
      <c r="L150" s="7" t="s">
        <v>1001</v>
      </c>
      <c r="M150" s="7" t="s">
        <v>254</v>
      </c>
      <c r="N150" s="7" t="n">
        <v>1</v>
      </c>
      <c r="O150" s="7" t="n">
        <v>1</v>
      </c>
      <c r="P150" s="7" t="str">
        <f aca="false">HYPERLINK("https://www.cqc.org.uk/location/1-12724732287","https://www.cqc.org.uk/location/1-12724732287")</f>
        <v>https://www.cqc.org.uk/location/1-12724732287</v>
      </c>
      <c r="Q150" s="7"/>
      <c r="R150" s="8" t="n">
        <v>46266</v>
      </c>
      <c r="S150" s="8" t="n">
        <v>46267</v>
      </c>
      <c r="T150" s="8" t="n">
        <v>46273</v>
      </c>
      <c r="U150" s="7" t="n">
        <v>8997</v>
      </c>
    </row>
    <row r="151" customFormat="false" ht="64" hidden="false" customHeight="true" outlineLevel="0" collapsed="false">
      <c r="A151" s="9" t="s">
        <v>1002</v>
      </c>
      <c r="B151" s="9" t="s">
        <v>1003</v>
      </c>
      <c r="C151" s="9" t="s">
        <v>1003</v>
      </c>
      <c r="D151" s="9" t="s">
        <v>1004</v>
      </c>
      <c r="E151" s="9" t="s">
        <v>4</v>
      </c>
      <c r="F151" s="9" t="s">
        <v>1005</v>
      </c>
      <c r="G151" s="10" t="n">
        <v>45495</v>
      </c>
      <c r="H151" s="9"/>
      <c r="I151" s="10"/>
      <c r="J151" s="9"/>
      <c r="K151" s="9" t="s">
        <v>252</v>
      </c>
      <c r="L151" s="9" t="s">
        <v>1006</v>
      </c>
      <c r="M151" s="9" t="s">
        <v>254</v>
      </c>
      <c r="N151" s="9" t="n">
        <v>1</v>
      </c>
      <c r="O151" s="9" t="n">
        <v>1</v>
      </c>
      <c r="P151" s="9" t="str">
        <f aca="false">HYPERLINK("https://www.cqc.org.uk/location/1-19829057838","https://www.cqc.org.uk/location/1-19829057838")</f>
        <v>https://www.cqc.org.uk/location/1-19829057838</v>
      </c>
      <c r="Q151" s="9"/>
      <c r="R151" s="10" t="n">
        <v>46266</v>
      </c>
      <c r="S151" s="10" t="n">
        <v>46267</v>
      </c>
      <c r="T151" s="10" t="n">
        <v>46273</v>
      </c>
      <c r="U151" s="9" t="n">
        <v>23649</v>
      </c>
    </row>
    <row r="152" customFormat="false" ht="64" hidden="false" customHeight="true" outlineLevel="0" collapsed="false">
      <c r="A152" s="7" t="s">
        <v>1007</v>
      </c>
      <c r="B152" s="7" t="s">
        <v>1008</v>
      </c>
      <c r="C152" s="7" t="s">
        <v>1008</v>
      </c>
      <c r="D152" s="7" t="s">
        <v>1009</v>
      </c>
      <c r="E152" s="7" t="s">
        <v>4</v>
      </c>
      <c r="F152" s="7" t="s">
        <v>1010</v>
      </c>
      <c r="G152" s="8" t="n">
        <v>42011</v>
      </c>
      <c r="H152" s="7" t="s">
        <v>268</v>
      </c>
      <c r="I152" s="8" t="n">
        <v>44363</v>
      </c>
      <c r="J152" s="7" t="s">
        <v>244</v>
      </c>
      <c r="K152" s="7" t="s">
        <v>252</v>
      </c>
      <c r="L152" s="7" t="s">
        <v>1011</v>
      </c>
      <c r="M152" s="7" t="s">
        <v>254</v>
      </c>
      <c r="N152" s="7" t="n">
        <v>1</v>
      </c>
      <c r="O152" s="7" t="n">
        <v>1</v>
      </c>
      <c r="P152" s="7" t="str">
        <f aca="false">HYPERLINK("https://www.cqc.org.uk/location/1-1830121421","https://www.cqc.org.uk/location/1-1830121421")</f>
        <v>https://www.cqc.org.uk/location/1-1830121421</v>
      </c>
      <c r="Q152" s="7" t="s">
        <v>1012</v>
      </c>
      <c r="R152" s="8" t="n">
        <v>46266</v>
      </c>
      <c r="S152" s="8" t="n">
        <v>46267</v>
      </c>
      <c r="T152" s="8" t="n">
        <v>46273</v>
      </c>
      <c r="U152" s="7" t="n">
        <v>19701</v>
      </c>
    </row>
    <row r="153" customFormat="false" ht="64" hidden="false" customHeight="true" outlineLevel="0" collapsed="false">
      <c r="A153" s="9" t="s">
        <v>1013</v>
      </c>
      <c r="B153" s="9" t="s">
        <v>1014</v>
      </c>
      <c r="C153" s="9" t="s">
        <v>1015</v>
      </c>
      <c r="D153" s="9" t="s">
        <v>1016</v>
      </c>
      <c r="E153" s="9" t="s">
        <v>4</v>
      </c>
      <c r="F153" s="9" t="s">
        <v>1017</v>
      </c>
      <c r="G153" s="10" t="n">
        <v>45107</v>
      </c>
      <c r="H153" s="9"/>
      <c r="I153" s="10"/>
      <c r="J153" s="9"/>
      <c r="K153" s="9" t="s">
        <v>252</v>
      </c>
      <c r="L153" s="9" t="s">
        <v>848</v>
      </c>
      <c r="M153" s="9" t="s">
        <v>254</v>
      </c>
      <c r="N153" s="9" t="n">
        <v>1</v>
      </c>
      <c r="O153" s="9" t="n">
        <v>1</v>
      </c>
      <c r="P153" s="9" t="str">
        <f aca="false">HYPERLINK("https://www.cqc.org.uk/location/1-16443449688","https://www.cqc.org.uk/location/1-16443449688")</f>
        <v>https://www.cqc.org.uk/location/1-16443449688</v>
      </c>
      <c r="Q153" s="9"/>
      <c r="R153" s="10" t="n">
        <v>46266</v>
      </c>
      <c r="S153" s="10" t="n">
        <v>46267</v>
      </c>
      <c r="T153" s="10" t="n">
        <v>46273</v>
      </c>
      <c r="U153" s="9" t="n">
        <v>17375</v>
      </c>
    </row>
    <row r="154" customFormat="false" ht="64" hidden="false" customHeight="true" outlineLevel="0" collapsed="false">
      <c r="A154" s="7" t="s">
        <v>1018</v>
      </c>
      <c r="B154" s="7" t="s">
        <v>1019</v>
      </c>
      <c r="C154" s="7" t="s">
        <v>1019</v>
      </c>
      <c r="D154" s="7" t="s">
        <v>1020</v>
      </c>
      <c r="E154" s="7" t="s">
        <v>4</v>
      </c>
      <c r="F154" s="7" t="s">
        <v>1021</v>
      </c>
      <c r="G154" s="8" t="n">
        <v>42045</v>
      </c>
      <c r="H154" s="7" t="s">
        <v>268</v>
      </c>
      <c r="I154" s="8" t="n">
        <v>43508</v>
      </c>
      <c r="J154" s="7" t="s">
        <v>244</v>
      </c>
      <c r="K154" s="7" t="s">
        <v>245</v>
      </c>
      <c r="L154" s="7" t="s">
        <v>386</v>
      </c>
      <c r="M154" s="7" t="s">
        <v>244</v>
      </c>
      <c r="N154" s="7" t="n">
        <v>1</v>
      </c>
      <c r="O154" s="7" t="n">
        <v>1</v>
      </c>
      <c r="P154" s="7" t="str">
        <f aca="false">HYPERLINK("https://www.cqc.org.uk/location/1-1914275047","https://www.cqc.org.uk/location/1-1914275047")</f>
        <v>https://www.cqc.org.uk/location/1-1914275047</v>
      </c>
      <c r="Q154" s="7"/>
      <c r="R154" s="8" t="n">
        <v>46266</v>
      </c>
      <c r="S154" s="8" t="n">
        <v>46267</v>
      </c>
      <c r="T154" s="8" t="n">
        <v>46273</v>
      </c>
      <c r="U154" s="7" t="n">
        <v>21640</v>
      </c>
    </row>
    <row r="155" customFormat="false" ht="64" hidden="false" customHeight="true" outlineLevel="0" collapsed="false">
      <c r="A155" s="9" t="s">
        <v>1022</v>
      </c>
      <c r="B155" s="9" t="s">
        <v>1023</v>
      </c>
      <c r="C155" s="9" t="s">
        <v>1023</v>
      </c>
      <c r="D155" s="9" t="s">
        <v>1024</v>
      </c>
      <c r="E155" s="9" t="s">
        <v>4</v>
      </c>
      <c r="F155" s="9" t="s">
        <v>1025</v>
      </c>
      <c r="G155" s="10" t="n">
        <v>45701</v>
      </c>
      <c r="H155" s="9"/>
      <c r="I155" s="10"/>
      <c r="J155" s="9"/>
      <c r="K155" s="9" t="s">
        <v>245</v>
      </c>
      <c r="L155" s="9" t="s">
        <v>1026</v>
      </c>
      <c r="M155" s="9" t="s">
        <v>244</v>
      </c>
      <c r="N155" s="9" t="n">
        <v>1</v>
      </c>
      <c r="O155" s="9" t="n">
        <v>1</v>
      </c>
      <c r="P155" s="9" t="str">
        <f aca="false">HYPERLINK("https://www.cqc.org.uk/location/1-21976675702","https://www.cqc.org.uk/location/1-21976675702")</f>
        <v>https://www.cqc.org.uk/location/1-21976675702</v>
      </c>
      <c r="Q155" s="9" t="s">
        <v>1027</v>
      </c>
      <c r="R155" s="10" t="n">
        <v>46266</v>
      </c>
      <c r="S155" s="10" t="n">
        <v>46267</v>
      </c>
      <c r="T155" s="10" t="n">
        <v>46273</v>
      </c>
      <c r="U155" s="9" t="n">
        <v>28393</v>
      </c>
    </row>
    <row r="156" customFormat="false" ht="64" hidden="false" customHeight="true" outlineLevel="0" collapsed="false">
      <c r="A156" s="7" t="s">
        <v>1028</v>
      </c>
      <c r="B156" s="7" t="s">
        <v>1029</v>
      </c>
      <c r="C156" s="7" t="s">
        <v>1030</v>
      </c>
      <c r="D156" s="7" t="s">
        <v>1031</v>
      </c>
      <c r="E156" s="7" t="s">
        <v>4</v>
      </c>
      <c r="F156" s="7" t="s">
        <v>1032</v>
      </c>
      <c r="G156" s="8" t="n">
        <v>42892</v>
      </c>
      <c r="H156" s="7" t="s">
        <v>268</v>
      </c>
      <c r="I156" s="8" t="n">
        <v>43636</v>
      </c>
      <c r="J156" s="7" t="s">
        <v>244</v>
      </c>
      <c r="K156" s="7" t="s">
        <v>245</v>
      </c>
      <c r="L156" s="7" t="s">
        <v>289</v>
      </c>
      <c r="M156" s="7" t="s">
        <v>244</v>
      </c>
      <c r="N156" s="7" t="n">
        <v>1</v>
      </c>
      <c r="O156" s="7" t="n">
        <v>1</v>
      </c>
      <c r="P156" s="7" t="str">
        <f aca="false">HYPERLINK("https://www.cqc.org.uk/location/1-3706746912","https://www.cqc.org.uk/location/1-3706746912")</f>
        <v>https://www.cqc.org.uk/location/1-3706746912</v>
      </c>
      <c r="Q156" s="7"/>
      <c r="R156" s="8" t="n">
        <v>46266</v>
      </c>
      <c r="S156" s="8" t="n">
        <v>46267</v>
      </c>
      <c r="T156" s="8" t="n">
        <v>46273</v>
      </c>
      <c r="U156" s="7" t="n">
        <v>40115</v>
      </c>
    </row>
    <row r="157" customFormat="false" ht="64" hidden="false" customHeight="true" outlineLevel="0" collapsed="false">
      <c r="A157" s="9" t="s">
        <v>1033</v>
      </c>
      <c r="B157" s="9" t="s">
        <v>1034</v>
      </c>
      <c r="C157" s="9" t="s">
        <v>1035</v>
      </c>
      <c r="D157" s="9" t="s">
        <v>1036</v>
      </c>
      <c r="E157" s="9" t="s">
        <v>4</v>
      </c>
      <c r="F157" s="9" t="s">
        <v>1037</v>
      </c>
      <c r="G157" s="10" t="n">
        <v>45190</v>
      </c>
      <c r="H157" s="9"/>
      <c r="I157" s="10"/>
      <c r="J157" s="9"/>
      <c r="K157" s="9" t="s">
        <v>245</v>
      </c>
      <c r="L157" s="9" t="s">
        <v>1038</v>
      </c>
      <c r="M157" s="9" t="s">
        <v>244</v>
      </c>
      <c r="N157" s="9" t="n">
        <v>1</v>
      </c>
      <c r="O157" s="9" t="n">
        <v>1</v>
      </c>
      <c r="P157" s="9" t="str">
        <f aca="false">HYPERLINK("https://www.cqc.org.uk/location/1-17584798725","https://www.cqc.org.uk/location/1-17584798725")</f>
        <v>https://www.cqc.org.uk/location/1-17584798725</v>
      </c>
      <c r="Q157" s="9" t="s">
        <v>1039</v>
      </c>
      <c r="R157" s="10" t="n">
        <v>46266</v>
      </c>
      <c r="S157" s="10" t="n">
        <v>46267</v>
      </c>
      <c r="T157" s="10" t="n">
        <v>46273</v>
      </c>
      <c r="U157" s="9" t="n">
        <v>18565</v>
      </c>
    </row>
    <row r="158" customFormat="false" ht="64" hidden="false" customHeight="true" outlineLevel="0" collapsed="false">
      <c r="A158" s="7" t="s">
        <v>1040</v>
      </c>
      <c r="B158" s="7" t="s">
        <v>1041</v>
      </c>
      <c r="C158" s="7" t="s">
        <v>1042</v>
      </c>
      <c r="D158" s="7" t="s">
        <v>1043</v>
      </c>
      <c r="E158" s="7" t="s">
        <v>4</v>
      </c>
      <c r="F158" s="7" t="s">
        <v>1044</v>
      </c>
      <c r="G158" s="8" t="n">
        <v>41885</v>
      </c>
      <c r="H158" s="7" t="s">
        <v>243</v>
      </c>
      <c r="I158" s="8" t="n">
        <v>45021</v>
      </c>
      <c r="J158" s="7" t="s">
        <v>244</v>
      </c>
      <c r="K158" s="7" t="s">
        <v>252</v>
      </c>
      <c r="L158" s="7" t="s">
        <v>1045</v>
      </c>
      <c r="M158" s="7" t="s">
        <v>254</v>
      </c>
      <c r="N158" s="7" t="n">
        <v>1</v>
      </c>
      <c r="O158" s="7" t="n">
        <v>1</v>
      </c>
      <c r="P158" s="7" t="str">
        <f aca="false">HYPERLINK("https://www.cqc.org.uk/location/1-1594893823","https://www.cqc.org.uk/location/1-1594893823")</f>
        <v>https://www.cqc.org.uk/location/1-1594893823</v>
      </c>
      <c r="Q158" s="7" t="s">
        <v>1046</v>
      </c>
      <c r="R158" s="8" t="n">
        <v>46266</v>
      </c>
      <c r="S158" s="8" t="n">
        <v>46267</v>
      </c>
      <c r="T158" s="8" t="n">
        <v>46273</v>
      </c>
      <c r="U158" s="7" t="n">
        <v>16828</v>
      </c>
    </row>
    <row r="159" customFormat="false" ht="64" hidden="false" customHeight="true" outlineLevel="0" collapsed="false">
      <c r="A159" s="9" t="s">
        <v>1047</v>
      </c>
      <c r="B159" s="9" t="s">
        <v>1048</v>
      </c>
      <c r="C159" s="9" t="s">
        <v>1049</v>
      </c>
      <c r="D159" s="9" t="s">
        <v>1050</v>
      </c>
      <c r="E159" s="9" t="s">
        <v>4</v>
      </c>
      <c r="F159" s="9" t="s">
        <v>583</v>
      </c>
      <c r="G159" s="10" t="n">
        <v>43483</v>
      </c>
      <c r="H159" s="9" t="s">
        <v>268</v>
      </c>
      <c r="I159" s="10" t="n">
        <v>44834</v>
      </c>
      <c r="J159" s="9" t="s">
        <v>244</v>
      </c>
      <c r="K159" s="9" t="s">
        <v>252</v>
      </c>
      <c r="L159" s="9" t="s">
        <v>451</v>
      </c>
      <c r="M159" s="9" t="s">
        <v>254</v>
      </c>
      <c r="N159" s="9" t="n">
        <v>3</v>
      </c>
      <c r="O159" s="9" t="n">
        <v>1</v>
      </c>
      <c r="P159" s="9" t="str">
        <f aca="false">HYPERLINK("https://www.cqc.org.uk/location/1-6322680797","https://www.cqc.org.uk/location/1-6322680797")</f>
        <v>https://www.cqc.org.uk/location/1-6322680797</v>
      </c>
      <c r="Q159" s="9" t="s">
        <v>1051</v>
      </c>
      <c r="R159" s="10" t="n">
        <v>46266</v>
      </c>
      <c r="S159" s="10" t="n">
        <v>46267</v>
      </c>
      <c r="T159" s="10" t="n">
        <v>46273</v>
      </c>
      <c r="U159" s="9" t="n">
        <v>49712</v>
      </c>
    </row>
    <row r="160" customFormat="false" ht="64" hidden="false" customHeight="true" outlineLevel="0" collapsed="false">
      <c r="A160" s="7" t="s">
        <v>1052</v>
      </c>
      <c r="B160" s="7" t="s">
        <v>1053</v>
      </c>
      <c r="C160" s="7" t="s">
        <v>1053</v>
      </c>
      <c r="D160" s="7" t="s">
        <v>1054</v>
      </c>
      <c r="E160" s="7" t="s">
        <v>4</v>
      </c>
      <c r="F160" s="7" t="s">
        <v>649</v>
      </c>
      <c r="G160" s="8" t="n">
        <v>45306</v>
      </c>
      <c r="H160" s="7"/>
      <c r="I160" s="8"/>
      <c r="J160" s="7"/>
      <c r="K160" s="7" t="s">
        <v>252</v>
      </c>
      <c r="L160" s="7" t="s">
        <v>386</v>
      </c>
      <c r="M160" s="7" t="s">
        <v>254</v>
      </c>
      <c r="N160" s="7" t="n">
        <v>1</v>
      </c>
      <c r="O160" s="7" t="n">
        <v>1</v>
      </c>
      <c r="P160" s="7" t="str">
        <f aca="false">HYPERLINK("https://www.cqc.org.uk/location/1-18442860867","https://www.cqc.org.uk/location/1-18442860867")</f>
        <v>https://www.cqc.org.uk/location/1-18442860867</v>
      </c>
      <c r="Q160" s="7"/>
      <c r="R160" s="8" t="n">
        <v>46266</v>
      </c>
      <c r="S160" s="8" t="n">
        <v>46267</v>
      </c>
      <c r="T160" s="8" t="n">
        <v>46273</v>
      </c>
      <c r="U160" s="7" t="n">
        <v>20003</v>
      </c>
    </row>
    <row r="161" customFormat="false" ht="64" hidden="false" customHeight="true" outlineLevel="0" collapsed="false">
      <c r="A161" s="9" t="s">
        <v>1055</v>
      </c>
      <c r="B161" s="9" t="s">
        <v>1056</v>
      </c>
      <c r="C161" s="9" t="s">
        <v>1056</v>
      </c>
      <c r="D161" s="9" t="s">
        <v>1057</v>
      </c>
      <c r="E161" s="9" t="s">
        <v>4</v>
      </c>
      <c r="F161" s="9" t="s">
        <v>737</v>
      </c>
      <c r="G161" s="10" t="n">
        <v>45201</v>
      </c>
      <c r="H161" s="9"/>
      <c r="I161" s="10"/>
      <c r="J161" s="9"/>
      <c r="K161" s="9" t="s">
        <v>245</v>
      </c>
      <c r="L161" s="9" t="s">
        <v>451</v>
      </c>
      <c r="M161" s="9" t="s">
        <v>244</v>
      </c>
      <c r="N161" s="9" t="n">
        <v>2</v>
      </c>
      <c r="O161" s="9" t="n">
        <v>1</v>
      </c>
      <c r="P161" s="9" t="str">
        <f aca="false">HYPERLINK("https://www.cqc.org.uk/location/1-17623137726","https://www.cqc.org.uk/location/1-17623137726")</f>
        <v>https://www.cqc.org.uk/location/1-17623137726</v>
      </c>
      <c r="Q161" s="9" t="s">
        <v>1058</v>
      </c>
      <c r="R161" s="10" t="n">
        <v>46266</v>
      </c>
      <c r="S161" s="10" t="n">
        <v>46267</v>
      </c>
      <c r="T161" s="10" t="n">
        <v>46273</v>
      </c>
      <c r="U161" s="9" t="n">
        <v>18704</v>
      </c>
    </row>
    <row r="162" customFormat="false" ht="64" hidden="false" customHeight="true" outlineLevel="0" collapsed="false">
      <c r="A162" s="7" t="s">
        <v>1059</v>
      </c>
      <c r="B162" s="7" t="s">
        <v>1060</v>
      </c>
      <c r="C162" s="7" t="s">
        <v>1061</v>
      </c>
      <c r="D162" s="7" t="s">
        <v>1062</v>
      </c>
      <c r="E162" s="7" t="s">
        <v>4</v>
      </c>
      <c r="F162" s="7" t="s">
        <v>1063</v>
      </c>
      <c r="G162" s="8" t="n">
        <v>40526</v>
      </c>
      <c r="H162" s="7" t="s">
        <v>268</v>
      </c>
      <c r="I162" s="8" t="n">
        <v>43543</v>
      </c>
      <c r="J162" s="7" t="s">
        <v>244</v>
      </c>
      <c r="K162" s="7" t="s">
        <v>245</v>
      </c>
      <c r="L162" s="7" t="s">
        <v>451</v>
      </c>
      <c r="M162" s="7" t="s">
        <v>244</v>
      </c>
      <c r="N162" s="7" t="n">
        <v>1</v>
      </c>
      <c r="O162" s="7" t="n">
        <v>1</v>
      </c>
      <c r="P162" s="7" t="str">
        <f aca="false">HYPERLINK("https://www.cqc.org.uk/location/1-123569636","https://www.cqc.org.uk/location/1-123569636")</f>
        <v>https://www.cqc.org.uk/location/1-123569636</v>
      </c>
      <c r="Q162" s="7" t="s">
        <v>1064</v>
      </c>
      <c r="R162" s="8" t="n">
        <v>46266</v>
      </c>
      <c r="S162" s="8" t="n">
        <v>46267</v>
      </c>
      <c r="T162" s="8" t="n">
        <v>46273</v>
      </c>
      <c r="U162" s="7" t="n">
        <v>7304</v>
      </c>
    </row>
    <row r="163" customFormat="false" ht="64" hidden="false" customHeight="true" outlineLevel="0" collapsed="false">
      <c r="A163" s="9" t="s">
        <v>1065</v>
      </c>
      <c r="B163" s="9" t="s">
        <v>1066</v>
      </c>
      <c r="C163" s="9" t="s">
        <v>1067</v>
      </c>
      <c r="D163" s="9" t="s">
        <v>1068</v>
      </c>
      <c r="E163" s="9" t="s">
        <v>4</v>
      </c>
      <c r="F163" s="9" t="s">
        <v>1069</v>
      </c>
      <c r="G163" s="10" t="n">
        <v>44624</v>
      </c>
      <c r="H163" s="9" t="s">
        <v>243</v>
      </c>
      <c r="I163" s="10" t="n">
        <v>45001</v>
      </c>
      <c r="J163" s="9" t="s">
        <v>244</v>
      </c>
      <c r="K163" s="9" t="s">
        <v>252</v>
      </c>
      <c r="L163" s="9" t="s">
        <v>509</v>
      </c>
      <c r="M163" s="9" t="s">
        <v>254</v>
      </c>
      <c r="N163" s="9" t="n">
        <v>1</v>
      </c>
      <c r="O163" s="9" t="n">
        <v>1</v>
      </c>
      <c r="P163" s="9" t="str">
        <f aca="false">HYPERLINK("https://www.cqc.org.uk/location/1-12611688815","https://www.cqc.org.uk/location/1-12611688815")</f>
        <v>https://www.cqc.org.uk/location/1-12611688815</v>
      </c>
      <c r="Q163" s="9"/>
      <c r="R163" s="10" t="n">
        <v>46266</v>
      </c>
      <c r="S163" s="10" t="n">
        <v>46267</v>
      </c>
      <c r="T163" s="10" t="n">
        <v>46273</v>
      </c>
      <c r="U163" s="9" t="n">
        <v>8498</v>
      </c>
    </row>
    <row r="164" customFormat="false" ht="64" hidden="false" customHeight="true" outlineLevel="0" collapsed="false">
      <c r="A164" s="7" t="s">
        <v>179</v>
      </c>
      <c r="B164" s="7" t="s">
        <v>174</v>
      </c>
      <c r="C164" s="7" t="s">
        <v>174</v>
      </c>
      <c r="D164" s="7" t="s">
        <v>178</v>
      </c>
      <c r="E164" s="7" t="s">
        <v>4</v>
      </c>
      <c r="F164" s="7" t="s">
        <v>737</v>
      </c>
      <c r="G164" s="8" t="n">
        <v>46097</v>
      </c>
      <c r="H164" s="7"/>
      <c r="I164" s="8"/>
      <c r="J164" s="7"/>
      <c r="K164" s="7" t="s">
        <v>245</v>
      </c>
      <c r="L164" s="7" t="s">
        <v>280</v>
      </c>
      <c r="M164" s="7" t="s">
        <v>244</v>
      </c>
      <c r="N164" s="7" t="n">
        <v>1</v>
      </c>
      <c r="O164" s="7" t="n">
        <v>1</v>
      </c>
      <c r="P164" s="7" t="str">
        <f aca="false">HYPERLINK("https://www.cqc.org.uk/location/1-27095662090","https://www.cqc.org.uk/location/1-27095662090")</f>
        <v>https://www.cqc.org.uk/location/1-27095662090</v>
      </c>
      <c r="Q164" s="7" t="s">
        <v>1070</v>
      </c>
      <c r="R164" s="8" t="n">
        <v>46266</v>
      </c>
      <c r="S164" s="8" t="n">
        <v>46267</v>
      </c>
      <c r="T164" s="8" t="n">
        <v>46273</v>
      </c>
      <c r="U164" s="7" t="n">
        <v>35598</v>
      </c>
    </row>
    <row r="165" customFormat="false" ht="64" hidden="false" customHeight="true" outlineLevel="0" collapsed="false">
      <c r="A165" s="9" t="s">
        <v>1071</v>
      </c>
      <c r="B165" s="9" t="s">
        <v>1072</v>
      </c>
      <c r="C165" s="9" t="s">
        <v>1073</v>
      </c>
      <c r="D165" s="9" t="s">
        <v>1074</v>
      </c>
      <c r="E165" s="9" t="s">
        <v>4</v>
      </c>
      <c r="F165" s="9" t="s">
        <v>1075</v>
      </c>
      <c r="G165" s="10" t="n">
        <v>41757</v>
      </c>
      <c r="H165" s="9" t="s">
        <v>268</v>
      </c>
      <c r="I165" s="10" t="n">
        <v>43568</v>
      </c>
      <c r="J165" s="9" t="s">
        <v>244</v>
      </c>
      <c r="K165" s="9" t="s">
        <v>252</v>
      </c>
      <c r="L165" s="9" t="s">
        <v>596</v>
      </c>
      <c r="M165" s="9" t="s">
        <v>254</v>
      </c>
      <c r="N165" s="9" t="n">
        <v>1</v>
      </c>
      <c r="O165" s="9" t="n">
        <v>1</v>
      </c>
      <c r="P165" s="9" t="str">
        <f aca="false">HYPERLINK("https://www.cqc.org.uk/location/1-1303427504","https://www.cqc.org.uk/location/1-1303427504")</f>
        <v>https://www.cqc.org.uk/location/1-1303427504</v>
      </c>
      <c r="Q165" s="9"/>
      <c r="R165" s="10" t="n">
        <v>46266</v>
      </c>
      <c r="S165" s="10" t="n">
        <v>46267</v>
      </c>
      <c r="T165" s="10" t="n">
        <v>46273</v>
      </c>
      <c r="U165" s="9" t="n">
        <v>10203</v>
      </c>
    </row>
    <row r="166" customFormat="false" ht="64" hidden="false" customHeight="true" outlineLevel="0" collapsed="false">
      <c r="A166" s="7" t="s">
        <v>1076</v>
      </c>
      <c r="B166" s="7" t="s">
        <v>1077</v>
      </c>
      <c r="C166" s="7" t="s">
        <v>1078</v>
      </c>
      <c r="D166" s="7" t="s">
        <v>1079</v>
      </c>
      <c r="E166" s="7" t="s">
        <v>4</v>
      </c>
      <c r="F166" s="7" t="s">
        <v>1080</v>
      </c>
      <c r="G166" s="8" t="n">
        <v>45107</v>
      </c>
      <c r="H166" s="7"/>
      <c r="I166" s="8"/>
      <c r="J166" s="7"/>
      <c r="K166" s="7" t="s">
        <v>252</v>
      </c>
      <c r="L166" s="7" t="s">
        <v>280</v>
      </c>
      <c r="M166" s="7" t="s">
        <v>254</v>
      </c>
      <c r="N166" s="7" t="n">
        <v>1</v>
      </c>
      <c r="O166" s="7" t="n">
        <v>1</v>
      </c>
      <c r="P166" s="7" t="str">
        <f aca="false">HYPERLINK("https://www.cqc.org.uk/location/1-15885992116","https://www.cqc.org.uk/location/1-15885992116")</f>
        <v>https://www.cqc.org.uk/location/1-15885992116</v>
      </c>
      <c r="Q166" s="7" t="s">
        <v>1081</v>
      </c>
      <c r="R166" s="8" t="n">
        <v>46266</v>
      </c>
      <c r="S166" s="8" t="n">
        <v>46267</v>
      </c>
      <c r="T166" s="8" t="n">
        <v>46273</v>
      </c>
      <c r="U166" s="7" t="n">
        <v>16712</v>
      </c>
    </row>
    <row r="167" customFormat="false" ht="64" hidden="false" customHeight="true" outlineLevel="0" collapsed="false">
      <c r="A167" s="9" t="s">
        <v>1082</v>
      </c>
      <c r="B167" s="9" t="s">
        <v>1083</v>
      </c>
      <c r="C167" s="9" t="s">
        <v>1083</v>
      </c>
      <c r="D167" s="9" t="s">
        <v>1084</v>
      </c>
      <c r="E167" s="9" t="s">
        <v>4</v>
      </c>
      <c r="F167" s="9" t="s">
        <v>1085</v>
      </c>
      <c r="G167" s="10" t="n">
        <v>45751</v>
      </c>
      <c r="H167" s="9"/>
      <c r="I167" s="10"/>
      <c r="J167" s="9"/>
      <c r="K167" s="9" t="s">
        <v>245</v>
      </c>
      <c r="L167" s="9" t="s">
        <v>848</v>
      </c>
      <c r="M167" s="9" t="s">
        <v>244</v>
      </c>
      <c r="N167" s="9" t="n">
        <v>1</v>
      </c>
      <c r="O167" s="9" t="n">
        <v>1</v>
      </c>
      <c r="P167" s="9" t="str">
        <f aca="false">HYPERLINK("https://www.cqc.org.uk/location/1-22162204045","https://www.cqc.org.uk/location/1-22162204045")</f>
        <v>https://www.cqc.org.uk/location/1-22162204045</v>
      </c>
      <c r="Q167" s="9" t="s">
        <v>1086</v>
      </c>
      <c r="R167" s="10" t="n">
        <v>46266</v>
      </c>
      <c r="S167" s="10" t="n">
        <v>46267</v>
      </c>
      <c r="T167" s="10" t="n">
        <v>46273</v>
      </c>
      <c r="U167" s="9" t="n">
        <v>29283</v>
      </c>
    </row>
    <row r="168" customFormat="false" ht="64" hidden="false" customHeight="true" outlineLevel="0" collapsed="false">
      <c r="A168" s="7" t="s">
        <v>1087</v>
      </c>
      <c r="B168" s="7" t="s">
        <v>1088</v>
      </c>
      <c r="C168" s="7" t="s">
        <v>1088</v>
      </c>
      <c r="D168" s="7" t="s">
        <v>1089</v>
      </c>
      <c r="E168" s="7" t="s">
        <v>4</v>
      </c>
      <c r="F168" s="7" t="s">
        <v>1090</v>
      </c>
      <c r="G168" s="8" t="n">
        <v>44546</v>
      </c>
      <c r="H168" s="7" t="s">
        <v>260</v>
      </c>
      <c r="I168" s="8"/>
      <c r="J168" s="7" t="s">
        <v>244</v>
      </c>
      <c r="K168" s="7" t="s">
        <v>252</v>
      </c>
      <c r="L168" s="7" t="s">
        <v>379</v>
      </c>
      <c r="M168" s="7" t="s">
        <v>254</v>
      </c>
      <c r="N168" s="7" t="n">
        <v>1</v>
      </c>
      <c r="O168" s="7" t="n">
        <v>1</v>
      </c>
      <c r="P168" s="7" t="str">
        <f aca="false">HYPERLINK("https://www.cqc.org.uk/location/1-12212940780","https://www.cqc.org.uk/location/1-12212940780")</f>
        <v>https://www.cqc.org.uk/location/1-12212940780</v>
      </c>
      <c r="Q168" s="7"/>
      <c r="R168" s="8" t="n">
        <v>46266</v>
      </c>
      <c r="S168" s="8" t="n">
        <v>46267</v>
      </c>
      <c r="T168" s="8" t="n">
        <v>46273</v>
      </c>
      <c r="U168" s="7" t="n">
        <v>6718</v>
      </c>
    </row>
    <row r="169" customFormat="false" ht="64" hidden="false" customHeight="true" outlineLevel="0" collapsed="false">
      <c r="A169" s="9" t="s">
        <v>210</v>
      </c>
      <c r="B169" s="9" t="s">
        <v>211</v>
      </c>
      <c r="C169" s="9" t="s">
        <v>205</v>
      </c>
      <c r="D169" s="9" t="s">
        <v>209</v>
      </c>
      <c r="E169" s="9" t="s">
        <v>4</v>
      </c>
      <c r="F169" s="9" t="s">
        <v>1091</v>
      </c>
      <c r="G169" s="10" t="n">
        <v>46042</v>
      </c>
      <c r="H169" s="9"/>
      <c r="I169" s="10"/>
      <c r="J169" s="9"/>
      <c r="K169" s="9" t="s">
        <v>252</v>
      </c>
      <c r="L169" s="9" t="s">
        <v>1092</v>
      </c>
      <c r="M169" s="9" t="s">
        <v>254</v>
      </c>
      <c r="N169" s="9" t="n">
        <v>1</v>
      </c>
      <c r="O169" s="9" t="n">
        <v>1</v>
      </c>
      <c r="P169" s="9" t="str">
        <f aca="false">HYPERLINK("https://www.cqc.org.uk/location/1-24208834549","https://www.cqc.org.uk/location/1-24208834549")</f>
        <v>https://www.cqc.org.uk/location/1-24208834549</v>
      </c>
      <c r="Q169" s="9" t="s">
        <v>1093</v>
      </c>
      <c r="R169" s="10" t="n">
        <v>46266</v>
      </c>
      <c r="S169" s="10" t="n">
        <v>46267</v>
      </c>
      <c r="T169" s="10" t="n">
        <v>46273</v>
      </c>
      <c r="U169" s="9" t="n">
        <v>31858</v>
      </c>
    </row>
    <row r="170" customFormat="false" ht="64" hidden="false" customHeight="true" outlineLevel="0" collapsed="false">
      <c r="A170" s="7" t="s">
        <v>1094</v>
      </c>
      <c r="B170" s="7" t="s">
        <v>1095</v>
      </c>
      <c r="C170" s="7" t="s">
        <v>1096</v>
      </c>
      <c r="D170" s="7" t="s">
        <v>1097</v>
      </c>
      <c r="E170" s="7" t="s">
        <v>4</v>
      </c>
      <c r="F170" s="7" t="s">
        <v>737</v>
      </c>
      <c r="G170" s="8" t="n">
        <v>45974</v>
      </c>
      <c r="H170" s="7"/>
      <c r="I170" s="8"/>
      <c r="J170" s="7"/>
      <c r="K170" s="7" t="s">
        <v>245</v>
      </c>
      <c r="L170" s="7" t="s">
        <v>289</v>
      </c>
      <c r="M170" s="7" t="s">
        <v>244</v>
      </c>
      <c r="N170" s="7" t="n">
        <v>1</v>
      </c>
      <c r="O170" s="7" t="n">
        <v>1</v>
      </c>
      <c r="P170" s="7" t="str">
        <f aca="false">HYPERLINK("https://www.cqc.org.uk/location/1-25556161312","https://www.cqc.org.uk/location/1-25556161312")</f>
        <v>https://www.cqc.org.uk/location/1-25556161312</v>
      </c>
      <c r="Q170" s="7" t="s">
        <v>1098</v>
      </c>
      <c r="R170" s="8" t="n">
        <v>46266</v>
      </c>
      <c r="S170" s="8" t="n">
        <v>46267</v>
      </c>
      <c r="T170" s="8" t="n">
        <v>46273</v>
      </c>
      <c r="U170" s="7" t="n">
        <v>33624</v>
      </c>
    </row>
    <row r="171" customFormat="false" ht="64" hidden="false" customHeight="true" outlineLevel="0" collapsed="false">
      <c r="A171" s="9" t="s">
        <v>1099</v>
      </c>
      <c r="B171" s="9" t="s">
        <v>1100</v>
      </c>
      <c r="C171" s="9" t="s">
        <v>1101</v>
      </c>
      <c r="D171" s="9" t="s">
        <v>1102</v>
      </c>
      <c r="E171" s="9" t="s">
        <v>4</v>
      </c>
      <c r="F171" s="9" t="s">
        <v>1103</v>
      </c>
      <c r="G171" s="10" t="n">
        <v>41850</v>
      </c>
      <c r="H171" s="9" t="s">
        <v>268</v>
      </c>
      <c r="I171" s="10" t="n">
        <v>45968</v>
      </c>
      <c r="J171" s="9" t="s">
        <v>244</v>
      </c>
      <c r="K171" s="9" t="s">
        <v>245</v>
      </c>
      <c r="L171" s="9" t="s">
        <v>451</v>
      </c>
      <c r="M171" s="9" t="s">
        <v>244</v>
      </c>
      <c r="N171" s="9" t="n">
        <v>1</v>
      </c>
      <c r="O171" s="9" t="n">
        <v>1</v>
      </c>
      <c r="P171" s="9" t="str">
        <f aca="false">HYPERLINK("https://www.cqc.org.uk/location/1-1554953672","https://www.cqc.org.uk/location/1-1554953672")</f>
        <v>https://www.cqc.org.uk/location/1-1554953672</v>
      </c>
      <c r="Q171" s="9" t="s">
        <v>1104</v>
      </c>
      <c r="R171" s="10" t="n">
        <v>46266</v>
      </c>
      <c r="S171" s="10" t="n">
        <v>46267</v>
      </c>
      <c r="T171" s="10" t="n">
        <v>46273</v>
      </c>
      <c r="U171" s="9" t="n">
        <v>16328</v>
      </c>
    </row>
    <row r="172" customFormat="false" ht="64" hidden="false" customHeight="true" outlineLevel="0" collapsed="false">
      <c r="A172" s="7" t="s">
        <v>1105</v>
      </c>
      <c r="B172" s="7" t="s">
        <v>1106</v>
      </c>
      <c r="C172" s="7" t="s">
        <v>1107</v>
      </c>
      <c r="D172" s="7" t="s">
        <v>1108</v>
      </c>
      <c r="E172" s="7" t="s">
        <v>4</v>
      </c>
      <c r="F172" s="7" t="s">
        <v>1109</v>
      </c>
      <c r="G172" s="8" t="n">
        <v>40526</v>
      </c>
      <c r="H172" s="7" t="s">
        <v>268</v>
      </c>
      <c r="I172" s="8" t="n">
        <v>43845</v>
      </c>
      <c r="J172" s="7" t="s">
        <v>244</v>
      </c>
      <c r="K172" s="7" t="s">
        <v>245</v>
      </c>
      <c r="L172" s="7" t="s">
        <v>386</v>
      </c>
      <c r="M172" s="7" t="s">
        <v>244</v>
      </c>
      <c r="N172" s="7" t="n">
        <v>1</v>
      </c>
      <c r="O172" s="7" t="n">
        <v>1</v>
      </c>
      <c r="P172" s="7" t="str">
        <f aca="false">HYPERLINK("https://www.cqc.org.uk/location/1-122921933","https://www.cqc.org.uk/location/1-122921933")</f>
        <v>https://www.cqc.org.uk/location/1-122921933</v>
      </c>
      <c r="Q172" s="7" t="s">
        <v>387</v>
      </c>
      <c r="R172" s="8" t="n">
        <v>46266</v>
      </c>
      <c r="S172" s="8" t="n">
        <v>46267</v>
      </c>
      <c r="T172" s="8" t="n">
        <v>46273</v>
      </c>
      <c r="U172" s="7" t="n">
        <v>7099</v>
      </c>
    </row>
    <row r="173" customFormat="false" ht="64" hidden="false" customHeight="true" outlineLevel="0" collapsed="false">
      <c r="A173" s="9" t="s">
        <v>1110</v>
      </c>
      <c r="B173" s="9" t="s">
        <v>1111</v>
      </c>
      <c r="C173" s="9" t="s">
        <v>1112</v>
      </c>
      <c r="D173" s="9" t="s">
        <v>1113</v>
      </c>
      <c r="E173" s="9" t="s">
        <v>4</v>
      </c>
      <c r="F173" s="9" t="s">
        <v>1114</v>
      </c>
      <c r="G173" s="10" t="n">
        <v>42936</v>
      </c>
      <c r="H173" s="9" t="s">
        <v>268</v>
      </c>
      <c r="I173" s="10" t="n">
        <v>45065</v>
      </c>
      <c r="J173" s="9" t="s">
        <v>244</v>
      </c>
      <c r="K173" s="9" t="s">
        <v>245</v>
      </c>
      <c r="L173" s="9" t="s">
        <v>1115</v>
      </c>
      <c r="M173" s="9" t="s">
        <v>244</v>
      </c>
      <c r="N173" s="9" t="n">
        <v>1</v>
      </c>
      <c r="O173" s="9" t="n">
        <v>1</v>
      </c>
      <c r="P173" s="9" t="str">
        <f aca="false">HYPERLINK("https://www.cqc.org.uk/location/1-4066276350","https://www.cqc.org.uk/location/1-4066276350")</f>
        <v>https://www.cqc.org.uk/location/1-4066276350</v>
      </c>
      <c r="Q173" s="9" t="s">
        <v>1116</v>
      </c>
      <c r="R173" s="10" t="n">
        <v>46266</v>
      </c>
      <c r="S173" s="10" t="n">
        <v>46267</v>
      </c>
      <c r="T173" s="10" t="n">
        <v>46273</v>
      </c>
      <c r="U173" s="9" t="n">
        <v>40958</v>
      </c>
    </row>
    <row r="174" customFormat="false" ht="64" hidden="false" customHeight="true" outlineLevel="0" collapsed="false">
      <c r="A174" s="7" t="s">
        <v>1117</v>
      </c>
      <c r="B174" s="7" t="s">
        <v>1118</v>
      </c>
      <c r="C174" s="7" t="s">
        <v>1118</v>
      </c>
      <c r="D174" s="7" t="s">
        <v>1119</v>
      </c>
      <c r="E174" s="7" t="s">
        <v>4</v>
      </c>
      <c r="F174" s="7" t="s">
        <v>1120</v>
      </c>
      <c r="G174" s="8" t="n">
        <v>45743</v>
      </c>
      <c r="H174" s="7"/>
      <c r="I174" s="8"/>
      <c r="J174" s="7"/>
      <c r="K174" s="7" t="s">
        <v>245</v>
      </c>
      <c r="L174" s="7" t="s">
        <v>1121</v>
      </c>
      <c r="M174" s="7" t="s">
        <v>244</v>
      </c>
      <c r="N174" s="7" t="n">
        <v>1</v>
      </c>
      <c r="O174" s="7" t="n">
        <v>1</v>
      </c>
      <c r="P174" s="7" t="str">
        <f aca="false">HYPERLINK("https://www.cqc.org.uk/location/1-22160077948","https://www.cqc.org.uk/location/1-22160077948")</f>
        <v>https://www.cqc.org.uk/location/1-22160077948</v>
      </c>
      <c r="Q174" s="7" t="s">
        <v>1122</v>
      </c>
      <c r="R174" s="8" t="n">
        <v>46266</v>
      </c>
      <c r="S174" s="8" t="n">
        <v>46267</v>
      </c>
      <c r="T174" s="8" t="n">
        <v>46273</v>
      </c>
      <c r="U174" s="7" t="n">
        <v>29200</v>
      </c>
    </row>
    <row r="175" customFormat="false" ht="64" hidden="false" customHeight="true" outlineLevel="0" collapsed="false">
      <c r="A175" s="9" t="s">
        <v>1123</v>
      </c>
      <c r="B175" s="9" t="s">
        <v>1124</v>
      </c>
      <c r="C175" s="9" t="s">
        <v>1124</v>
      </c>
      <c r="D175" s="9" t="s">
        <v>1125</v>
      </c>
      <c r="E175" s="9" t="s">
        <v>4</v>
      </c>
      <c r="F175" s="9" t="s">
        <v>1126</v>
      </c>
      <c r="G175" s="10" t="n">
        <v>42320</v>
      </c>
      <c r="H175" s="9" t="s">
        <v>243</v>
      </c>
      <c r="I175" s="10" t="n">
        <v>45374</v>
      </c>
      <c r="J175" s="9" t="s">
        <v>244</v>
      </c>
      <c r="K175" s="9" t="s">
        <v>252</v>
      </c>
      <c r="L175" s="9" t="s">
        <v>386</v>
      </c>
      <c r="M175" s="9" t="s">
        <v>254</v>
      </c>
      <c r="N175" s="9" t="n">
        <v>1</v>
      </c>
      <c r="O175" s="9" t="n">
        <v>1</v>
      </c>
      <c r="P175" s="9" t="str">
        <f aca="false">HYPERLINK("https://www.cqc.org.uk/location/1-2299005954","https://www.cqc.org.uk/location/1-2299005954")</f>
        <v>https://www.cqc.org.uk/location/1-2299005954</v>
      </c>
      <c r="Q175" s="9" t="s">
        <v>1127</v>
      </c>
      <c r="R175" s="10" t="n">
        <v>46266</v>
      </c>
      <c r="S175" s="10" t="n">
        <v>46267</v>
      </c>
      <c r="T175" s="10" t="n">
        <v>46273</v>
      </c>
      <c r="U175" s="9" t="n">
        <v>30200</v>
      </c>
    </row>
    <row r="176" customFormat="false" ht="64" hidden="false" customHeight="true" outlineLevel="0" collapsed="false">
      <c r="A176" s="7" t="s">
        <v>1128</v>
      </c>
      <c r="B176" s="7" t="s">
        <v>1129</v>
      </c>
      <c r="C176" s="7" t="s">
        <v>1130</v>
      </c>
      <c r="D176" s="7" t="s">
        <v>1131</v>
      </c>
      <c r="E176" s="7" t="s">
        <v>4</v>
      </c>
      <c r="F176" s="7" t="s">
        <v>1132</v>
      </c>
      <c r="G176" s="8" t="n">
        <v>41080</v>
      </c>
      <c r="H176" s="7" t="s">
        <v>268</v>
      </c>
      <c r="I176" s="8" t="n">
        <v>44376</v>
      </c>
      <c r="J176" s="7" t="s">
        <v>244</v>
      </c>
      <c r="K176" s="7" t="s">
        <v>819</v>
      </c>
      <c r="L176" s="7" t="s">
        <v>596</v>
      </c>
      <c r="M176" s="7" t="s">
        <v>254</v>
      </c>
      <c r="N176" s="7" t="n">
        <v>2</v>
      </c>
      <c r="O176" s="7" t="n">
        <v>1</v>
      </c>
      <c r="P176" s="7" t="str">
        <f aca="false">HYPERLINK("https://www.cqc.org.uk/location/1-435362095","https://www.cqc.org.uk/location/1-435362095")</f>
        <v>https://www.cqc.org.uk/location/1-435362095</v>
      </c>
      <c r="Q176" s="7"/>
      <c r="R176" s="8" t="n">
        <v>46266</v>
      </c>
      <c r="S176" s="8" t="n">
        <v>46267</v>
      </c>
      <c r="T176" s="8" t="n">
        <v>46273</v>
      </c>
      <c r="U176" s="7" t="n">
        <v>41729</v>
      </c>
    </row>
    <row r="177" customFormat="false" ht="64" hidden="false" customHeight="true" outlineLevel="0" collapsed="false">
      <c r="A177" s="9" t="s">
        <v>1133</v>
      </c>
      <c r="B177" s="9" t="s">
        <v>512</v>
      </c>
      <c r="C177" s="9" t="s">
        <v>1134</v>
      </c>
      <c r="D177" s="9" t="s">
        <v>1135</v>
      </c>
      <c r="E177" s="9" t="s">
        <v>4</v>
      </c>
      <c r="F177" s="9" t="s">
        <v>572</v>
      </c>
      <c r="G177" s="10" t="n">
        <v>44734</v>
      </c>
      <c r="H177" s="9"/>
      <c r="I177" s="10"/>
      <c r="J177" s="9"/>
      <c r="K177" s="9" t="s">
        <v>252</v>
      </c>
      <c r="L177" s="9" t="s">
        <v>1092</v>
      </c>
      <c r="M177" s="9" t="s">
        <v>254</v>
      </c>
      <c r="N177" s="9" t="n">
        <v>1</v>
      </c>
      <c r="O177" s="9" t="n">
        <v>1</v>
      </c>
      <c r="P177" s="9" t="str">
        <f aca="false">HYPERLINK("https://www.cqc.org.uk/location/1-12959145803","https://www.cqc.org.uk/location/1-12959145803")</f>
        <v>https://www.cqc.org.uk/location/1-12959145803</v>
      </c>
      <c r="Q177" s="9" t="s">
        <v>1136</v>
      </c>
      <c r="R177" s="10" t="n">
        <v>46266</v>
      </c>
      <c r="S177" s="10" t="n">
        <v>46267</v>
      </c>
      <c r="T177" s="10" t="n">
        <v>46273</v>
      </c>
      <c r="U177" s="9" t="n">
        <v>9978</v>
      </c>
    </row>
    <row r="178" customFormat="false" ht="64" hidden="false" customHeight="true" outlineLevel="0" collapsed="false">
      <c r="A178" s="7" t="s">
        <v>1137</v>
      </c>
      <c r="B178" s="7" t="s">
        <v>1138</v>
      </c>
      <c r="C178" s="7" t="s">
        <v>1139</v>
      </c>
      <c r="D178" s="7" t="s">
        <v>1140</v>
      </c>
      <c r="E178" s="7" t="s">
        <v>4</v>
      </c>
      <c r="F178" s="7" t="s">
        <v>784</v>
      </c>
      <c r="G178" s="8" t="n">
        <v>44549</v>
      </c>
      <c r="H178" s="7"/>
      <c r="I178" s="8"/>
      <c r="J178" s="7"/>
      <c r="K178" s="7" t="s">
        <v>252</v>
      </c>
      <c r="L178" s="7" t="s">
        <v>1141</v>
      </c>
      <c r="M178" s="7" t="s">
        <v>254</v>
      </c>
      <c r="N178" s="7" t="n">
        <v>1</v>
      </c>
      <c r="O178" s="7" t="n">
        <v>1</v>
      </c>
      <c r="P178" s="7" t="str">
        <f aca="false">HYPERLINK("https://www.cqc.org.uk/location/1-12142386437","https://www.cqc.org.uk/location/1-12142386437")</f>
        <v>https://www.cqc.org.uk/location/1-12142386437</v>
      </c>
      <c r="Q178" s="7" t="s">
        <v>1142</v>
      </c>
      <c r="R178" s="8" t="n">
        <v>46266</v>
      </c>
      <c r="S178" s="8" t="n">
        <v>46267</v>
      </c>
      <c r="T178" s="8" t="n">
        <v>46273</v>
      </c>
      <c r="U178" s="7" t="n">
        <v>6316</v>
      </c>
    </row>
    <row r="179" customFormat="false" ht="64" hidden="false" customHeight="true" outlineLevel="0" collapsed="false">
      <c r="A179" s="9" t="s">
        <v>1143</v>
      </c>
      <c r="B179" s="9" t="s">
        <v>1144</v>
      </c>
      <c r="C179" s="9" t="s">
        <v>1144</v>
      </c>
      <c r="D179" s="9" t="s">
        <v>1145</v>
      </c>
      <c r="E179" s="9" t="s">
        <v>4</v>
      </c>
      <c r="F179" s="9" t="s">
        <v>1146</v>
      </c>
      <c r="G179" s="10" t="n">
        <v>41163</v>
      </c>
      <c r="H179" s="9" t="s">
        <v>1147</v>
      </c>
      <c r="I179" s="10" t="n">
        <v>43707</v>
      </c>
      <c r="J179" s="9" t="s">
        <v>244</v>
      </c>
      <c r="K179" s="9" t="s">
        <v>245</v>
      </c>
      <c r="L179" s="9" t="s">
        <v>1148</v>
      </c>
      <c r="M179" s="9" t="s">
        <v>244</v>
      </c>
      <c r="N179" s="9" t="n">
        <v>1</v>
      </c>
      <c r="O179" s="9" t="n">
        <v>1</v>
      </c>
      <c r="P179" s="9" t="str">
        <f aca="false">HYPERLINK("https://www.cqc.org.uk/location/1-469910143","https://www.cqc.org.uk/location/1-469910143")</f>
        <v>https://www.cqc.org.uk/location/1-469910143</v>
      </c>
      <c r="Q179" s="9" t="s">
        <v>1149</v>
      </c>
      <c r="R179" s="10" t="n">
        <v>46266</v>
      </c>
      <c r="S179" s="10" t="n">
        <v>46267</v>
      </c>
      <c r="T179" s="10" t="n">
        <v>46273</v>
      </c>
      <c r="U179" s="9" t="n">
        <v>42619</v>
      </c>
    </row>
    <row r="180" customFormat="false" ht="64" hidden="false" customHeight="true" outlineLevel="0" collapsed="false">
      <c r="A180" s="7" t="s">
        <v>1150</v>
      </c>
      <c r="B180" s="7" t="s">
        <v>1151</v>
      </c>
      <c r="C180" s="7" t="s">
        <v>1151</v>
      </c>
      <c r="D180" s="7" t="s">
        <v>1152</v>
      </c>
      <c r="E180" s="7" t="s">
        <v>4</v>
      </c>
      <c r="F180" s="7" t="s">
        <v>1153</v>
      </c>
      <c r="G180" s="8" t="n">
        <v>42293</v>
      </c>
      <c r="H180" s="7" t="s">
        <v>268</v>
      </c>
      <c r="I180" s="8" t="n">
        <v>43728</v>
      </c>
      <c r="J180" s="7" t="s">
        <v>244</v>
      </c>
      <c r="K180" s="7" t="s">
        <v>245</v>
      </c>
      <c r="L180" s="7" t="s">
        <v>451</v>
      </c>
      <c r="M180" s="7" t="s">
        <v>244</v>
      </c>
      <c r="N180" s="7" t="n">
        <v>1</v>
      </c>
      <c r="O180" s="7" t="n">
        <v>1</v>
      </c>
      <c r="P180" s="7" t="str">
        <f aca="false">HYPERLINK("https://www.cqc.org.uk/location/1-2257875795","https://www.cqc.org.uk/location/1-2257875795")</f>
        <v>https://www.cqc.org.uk/location/1-2257875795</v>
      </c>
      <c r="Q180" s="7" t="s">
        <v>1154</v>
      </c>
      <c r="R180" s="8" t="n">
        <v>46266</v>
      </c>
      <c r="S180" s="8" t="n">
        <v>46267</v>
      </c>
      <c r="T180" s="8" t="n">
        <v>46273</v>
      </c>
      <c r="U180" s="7" t="n">
        <v>29676</v>
      </c>
    </row>
    <row r="181" customFormat="false" ht="64" hidden="false" customHeight="true" outlineLevel="0" collapsed="false">
      <c r="A181" s="9" t="s">
        <v>1155</v>
      </c>
      <c r="B181" s="9" t="s">
        <v>1156</v>
      </c>
      <c r="C181" s="9" t="s">
        <v>1156</v>
      </c>
      <c r="D181" s="9" t="s">
        <v>1157</v>
      </c>
      <c r="E181" s="9" t="s">
        <v>4</v>
      </c>
      <c r="F181" s="9" t="s">
        <v>1158</v>
      </c>
      <c r="G181" s="10" t="n">
        <v>41382</v>
      </c>
      <c r="H181" s="9" t="s">
        <v>268</v>
      </c>
      <c r="I181" s="10" t="n">
        <v>43581</v>
      </c>
      <c r="J181" s="9" t="s">
        <v>244</v>
      </c>
      <c r="K181" s="9" t="s">
        <v>252</v>
      </c>
      <c r="L181" s="9" t="s">
        <v>772</v>
      </c>
      <c r="M181" s="9" t="s">
        <v>254</v>
      </c>
      <c r="N181" s="9" t="n">
        <v>1</v>
      </c>
      <c r="O181" s="9" t="n">
        <v>1</v>
      </c>
      <c r="P181" s="9" t="str">
        <f aca="false">HYPERLINK("https://www.cqc.org.uk/location/1-684878006","https://www.cqc.org.uk/location/1-684878006")</f>
        <v>https://www.cqc.org.uk/location/1-684878006</v>
      </c>
      <c r="Q181" s="9" t="s">
        <v>1159</v>
      </c>
      <c r="R181" s="10" t="n">
        <v>46266</v>
      </c>
      <c r="S181" s="10" t="n">
        <v>46267</v>
      </c>
      <c r="T181" s="10" t="n">
        <v>46273</v>
      </c>
      <c r="U181" s="9" t="n">
        <v>50701</v>
      </c>
    </row>
    <row r="182" customFormat="false" ht="64" hidden="false" customHeight="true" outlineLevel="0" collapsed="false">
      <c r="A182" s="7" t="s">
        <v>1160</v>
      </c>
      <c r="B182" s="7" t="s">
        <v>1161</v>
      </c>
      <c r="C182" s="7" t="s">
        <v>1161</v>
      </c>
      <c r="D182" s="7" t="s">
        <v>1162</v>
      </c>
      <c r="E182" s="7" t="s">
        <v>4</v>
      </c>
      <c r="F182" s="7" t="s">
        <v>1163</v>
      </c>
      <c r="G182" s="8" t="n">
        <v>43117</v>
      </c>
      <c r="H182" s="7" t="s">
        <v>268</v>
      </c>
      <c r="I182" s="8" t="n">
        <v>43568</v>
      </c>
      <c r="J182" s="7" t="s">
        <v>244</v>
      </c>
      <c r="K182" s="7" t="s">
        <v>252</v>
      </c>
      <c r="L182" s="7" t="s">
        <v>386</v>
      </c>
      <c r="M182" s="7" t="s">
        <v>254</v>
      </c>
      <c r="N182" s="7" t="n">
        <v>1</v>
      </c>
      <c r="O182" s="7" t="n">
        <v>1</v>
      </c>
      <c r="P182" s="7" t="str">
        <f aca="false">HYPERLINK("https://www.cqc.org.uk/location/1-4590773082","https://www.cqc.org.uk/location/1-4590773082")</f>
        <v>https://www.cqc.org.uk/location/1-4590773082</v>
      </c>
      <c r="Q182" s="7" t="s">
        <v>1164</v>
      </c>
      <c r="R182" s="8" t="n">
        <v>46266</v>
      </c>
      <c r="S182" s="8" t="n">
        <v>46267</v>
      </c>
      <c r="T182" s="8" t="n">
        <v>46273</v>
      </c>
      <c r="U182" s="7" t="n">
        <v>42364</v>
      </c>
    </row>
    <row r="183" customFormat="false" ht="64" hidden="false" customHeight="true" outlineLevel="0" collapsed="false">
      <c r="A183" s="9" t="s">
        <v>78</v>
      </c>
      <c r="B183" s="9" t="s">
        <v>79</v>
      </c>
      <c r="C183" s="9" t="s">
        <v>73</v>
      </c>
      <c r="D183" s="9" t="s">
        <v>77</v>
      </c>
      <c r="E183" s="9" t="s">
        <v>4</v>
      </c>
      <c r="F183" s="9" t="s">
        <v>1165</v>
      </c>
      <c r="G183" s="10" t="n">
        <v>44270</v>
      </c>
      <c r="H183" s="9" t="s">
        <v>268</v>
      </c>
      <c r="I183" s="10" t="n">
        <v>43743</v>
      </c>
      <c r="J183" s="9" t="s">
        <v>254</v>
      </c>
      <c r="K183" s="9" t="s">
        <v>245</v>
      </c>
      <c r="L183" s="9" t="s">
        <v>464</v>
      </c>
      <c r="M183" s="9" t="s">
        <v>244</v>
      </c>
      <c r="N183" s="9" t="n">
        <v>150</v>
      </c>
      <c r="O183" s="9" t="n">
        <v>3</v>
      </c>
      <c r="P183" s="9" t="str">
        <f aca="false">HYPERLINK("https://www.cqc.org.uk/location/1-10536207398","https://www.cqc.org.uk/location/1-10536207398")</f>
        <v>https://www.cqc.org.uk/location/1-10536207398</v>
      </c>
      <c r="Q183" s="9" t="s">
        <v>1166</v>
      </c>
      <c r="R183" s="10" t="n">
        <v>46266</v>
      </c>
      <c r="S183" s="10" t="n">
        <v>46267</v>
      </c>
      <c r="T183" s="10" t="n">
        <v>46273</v>
      </c>
      <c r="U183" s="9" t="n">
        <v>848</v>
      </c>
    </row>
    <row r="184" customFormat="false" ht="64" hidden="false" customHeight="true" outlineLevel="0" collapsed="false">
      <c r="A184" s="7" t="s">
        <v>1167</v>
      </c>
      <c r="B184" s="7" t="s">
        <v>1168</v>
      </c>
      <c r="C184" s="7" t="s">
        <v>73</v>
      </c>
      <c r="D184" s="7" t="s">
        <v>77</v>
      </c>
      <c r="E184" s="7" t="s">
        <v>4</v>
      </c>
      <c r="F184" s="7" t="s">
        <v>1169</v>
      </c>
      <c r="G184" s="8" t="n">
        <v>43566</v>
      </c>
      <c r="H184" s="7" t="s">
        <v>268</v>
      </c>
      <c r="I184" s="8" t="n">
        <v>44337</v>
      </c>
      <c r="J184" s="7" t="s">
        <v>244</v>
      </c>
      <c r="K184" s="7" t="s">
        <v>245</v>
      </c>
      <c r="L184" s="7" t="s">
        <v>405</v>
      </c>
      <c r="M184" s="7" t="s">
        <v>244</v>
      </c>
      <c r="N184" s="7" t="n">
        <v>150</v>
      </c>
      <c r="O184" s="7" t="n">
        <v>3</v>
      </c>
      <c r="P184" s="7" t="str">
        <f aca="false">HYPERLINK("https://www.cqc.org.uk/location/1-6271803442","https://www.cqc.org.uk/location/1-6271803442")</f>
        <v>https://www.cqc.org.uk/location/1-6271803442</v>
      </c>
      <c r="Q184" s="7" t="s">
        <v>1166</v>
      </c>
      <c r="R184" s="8" t="n">
        <v>46266</v>
      </c>
      <c r="S184" s="8" t="n">
        <v>46267</v>
      </c>
      <c r="T184" s="8" t="n">
        <v>46273</v>
      </c>
      <c r="U184" s="7" t="n">
        <v>49576</v>
      </c>
    </row>
    <row r="185" customFormat="false" ht="64" hidden="false" customHeight="true" outlineLevel="0" collapsed="false">
      <c r="A185" s="9" t="s">
        <v>1170</v>
      </c>
      <c r="B185" s="9" t="s">
        <v>1171</v>
      </c>
      <c r="C185" s="9" t="s">
        <v>1172</v>
      </c>
      <c r="D185" s="9" t="s">
        <v>1173</v>
      </c>
      <c r="E185" s="9" t="s">
        <v>4</v>
      </c>
      <c r="F185" s="9" t="s">
        <v>1174</v>
      </c>
      <c r="G185" s="10" t="n">
        <v>42623</v>
      </c>
      <c r="H185" s="9" t="s">
        <v>260</v>
      </c>
      <c r="I185" s="10"/>
      <c r="J185" s="9" t="s">
        <v>244</v>
      </c>
      <c r="K185" s="9" t="s">
        <v>252</v>
      </c>
      <c r="L185" s="9" t="s">
        <v>416</v>
      </c>
      <c r="M185" s="9" t="s">
        <v>254</v>
      </c>
      <c r="N185" s="9" t="n">
        <v>3</v>
      </c>
      <c r="O185" s="9" t="n">
        <v>1</v>
      </c>
      <c r="P185" s="9" t="str">
        <f aca="false">HYPERLINK("https://www.cqc.org.uk/location/1-2844873864","https://www.cqc.org.uk/location/1-2844873864")</f>
        <v>https://www.cqc.org.uk/location/1-2844873864</v>
      </c>
      <c r="Q185" s="9" t="s">
        <v>1175</v>
      </c>
      <c r="R185" s="10" t="n">
        <v>46266</v>
      </c>
      <c r="S185" s="10" t="n">
        <v>46267</v>
      </c>
      <c r="T185" s="10" t="n">
        <v>46273</v>
      </c>
      <c r="U185" s="9" t="n">
        <v>37031</v>
      </c>
    </row>
    <row r="186" customFormat="false" ht="64" hidden="false" customHeight="true" outlineLevel="0" collapsed="false">
      <c r="A186" s="7" t="s">
        <v>1176</v>
      </c>
      <c r="B186" s="7" t="s">
        <v>1177</v>
      </c>
      <c r="C186" s="7" t="s">
        <v>1178</v>
      </c>
      <c r="D186" s="7" t="s">
        <v>1179</v>
      </c>
      <c r="E186" s="7" t="s">
        <v>4</v>
      </c>
      <c r="F186" s="7" t="s">
        <v>1180</v>
      </c>
      <c r="G186" s="8" t="n">
        <v>45105</v>
      </c>
      <c r="H186" s="7"/>
      <c r="I186" s="8"/>
      <c r="J186" s="7"/>
      <c r="K186" s="7" t="s">
        <v>1181</v>
      </c>
      <c r="L186" s="7" t="s">
        <v>386</v>
      </c>
      <c r="M186" s="7" t="s">
        <v>254</v>
      </c>
      <c r="N186" s="7" t="n">
        <v>1</v>
      </c>
      <c r="O186" s="7" t="n">
        <v>1</v>
      </c>
      <c r="P186" s="7" t="str">
        <f aca="false">HYPERLINK("https://www.cqc.org.uk/location/1-16413487310","https://www.cqc.org.uk/location/1-16413487310")</f>
        <v>https://www.cqc.org.uk/location/1-16413487310</v>
      </c>
      <c r="Q186" s="7" t="s">
        <v>1182</v>
      </c>
      <c r="R186" s="8" t="n">
        <v>46266</v>
      </c>
      <c r="S186" s="8" t="n">
        <v>46267</v>
      </c>
      <c r="T186" s="8" t="n">
        <v>46273</v>
      </c>
      <c r="U186" s="7" t="n">
        <v>17292</v>
      </c>
    </row>
    <row r="187" customFormat="false" ht="64" hidden="false" customHeight="true" outlineLevel="0" collapsed="false">
      <c r="A187" s="9" t="s">
        <v>1183</v>
      </c>
      <c r="B187" s="9" t="s">
        <v>1184</v>
      </c>
      <c r="C187" s="9" t="s">
        <v>1185</v>
      </c>
      <c r="D187" s="9" t="s">
        <v>1186</v>
      </c>
      <c r="E187" s="9" t="s">
        <v>4</v>
      </c>
      <c r="F187" s="9" t="s">
        <v>737</v>
      </c>
      <c r="G187" s="10" t="n">
        <v>42528</v>
      </c>
      <c r="H187" s="9" t="s">
        <v>268</v>
      </c>
      <c r="I187" s="10" t="n">
        <v>43579</v>
      </c>
      <c r="J187" s="9" t="s">
        <v>244</v>
      </c>
      <c r="K187" s="9" t="s">
        <v>245</v>
      </c>
      <c r="L187" s="9" t="s">
        <v>1187</v>
      </c>
      <c r="M187" s="9" t="s">
        <v>244</v>
      </c>
      <c r="N187" s="9" t="n">
        <v>1</v>
      </c>
      <c r="O187" s="9" t="n">
        <v>1</v>
      </c>
      <c r="P187" s="9" t="str">
        <f aca="false">HYPERLINK("https://www.cqc.org.uk/location/1-2694955657","https://www.cqc.org.uk/location/1-2694955657")</f>
        <v>https://www.cqc.org.uk/location/1-2694955657</v>
      </c>
      <c r="Q187" s="9"/>
      <c r="R187" s="10" t="n">
        <v>46266</v>
      </c>
      <c r="S187" s="10" t="n">
        <v>46267</v>
      </c>
      <c r="T187" s="10" t="n">
        <v>46273</v>
      </c>
      <c r="U187" s="9" t="n">
        <v>35420</v>
      </c>
    </row>
    <row r="188" customFormat="false" ht="64" hidden="false" customHeight="true" outlineLevel="0" collapsed="false">
      <c r="A188" s="7" t="s">
        <v>1188</v>
      </c>
      <c r="B188" s="7" t="s">
        <v>1189</v>
      </c>
      <c r="C188" s="7" t="s">
        <v>1189</v>
      </c>
      <c r="D188" s="7" t="s">
        <v>1190</v>
      </c>
      <c r="E188" s="7" t="s">
        <v>4</v>
      </c>
      <c r="F188" s="7" t="s">
        <v>737</v>
      </c>
      <c r="G188" s="8" t="n">
        <v>45776</v>
      </c>
      <c r="H188" s="7"/>
      <c r="I188" s="8"/>
      <c r="J188" s="7"/>
      <c r="K188" s="7" t="s">
        <v>245</v>
      </c>
      <c r="L188" s="7" t="s">
        <v>848</v>
      </c>
      <c r="M188" s="7" t="s">
        <v>244</v>
      </c>
      <c r="N188" s="7" t="n">
        <v>1</v>
      </c>
      <c r="O188" s="7" t="n">
        <v>1</v>
      </c>
      <c r="P188" s="7" t="str">
        <f aca="false">HYPERLINK("https://www.cqc.org.uk/location/1-22950841428","https://www.cqc.org.uk/location/1-22950841428")</f>
        <v>https://www.cqc.org.uk/location/1-22950841428</v>
      </c>
      <c r="Q188" s="7" t="s">
        <v>1191</v>
      </c>
      <c r="R188" s="8" t="n">
        <v>46266</v>
      </c>
      <c r="S188" s="8" t="n">
        <v>46267</v>
      </c>
      <c r="T188" s="8" t="n">
        <v>46273</v>
      </c>
      <c r="U188" s="7" t="n">
        <v>30153</v>
      </c>
    </row>
    <row r="189" customFormat="false" ht="64" hidden="false" customHeight="true" outlineLevel="0" collapsed="false">
      <c r="A189" s="9" t="s">
        <v>1192</v>
      </c>
      <c r="B189" s="9" t="s">
        <v>1193</v>
      </c>
      <c r="C189" s="9" t="s">
        <v>1194</v>
      </c>
      <c r="D189" s="9" t="s">
        <v>1195</v>
      </c>
      <c r="E189" s="9" t="s">
        <v>4</v>
      </c>
      <c r="F189" s="9" t="s">
        <v>426</v>
      </c>
      <c r="G189" s="10" t="n">
        <v>42166</v>
      </c>
      <c r="H189" s="9" t="s">
        <v>243</v>
      </c>
      <c r="I189" s="10" t="n">
        <v>46084</v>
      </c>
      <c r="J189" s="9" t="s">
        <v>244</v>
      </c>
      <c r="K189" s="9" t="s">
        <v>245</v>
      </c>
      <c r="L189" s="9" t="s">
        <v>464</v>
      </c>
      <c r="M189" s="9" t="s">
        <v>244</v>
      </c>
      <c r="N189" s="9" t="n">
        <v>1</v>
      </c>
      <c r="O189" s="9" t="n">
        <v>1</v>
      </c>
      <c r="P189" s="9" t="str">
        <f aca="false">HYPERLINK("https://www.cqc.org.uk/location/1-2041181060","https://www.cqc.org.uk/location/1-2041181060")</f>
        <v>https://www.cqc.org.uk/location/1-2041181060</v>
      </c>
      <c r="Q189" s="9" t="s">
        <v>1196</v>
      </c>
      <c r="R189" s="10" t="n">
        <v>46266</v>
      </c>
      <c r="S189" s="10" t="n">
        <v>46267</v>
      </c>
      <c r="T189" s="10" t="n">
        <v>46273</v>
      </c>
      <c r="U189" s="9" t="n">
        <v>26086</v>
      </c>
    </row>
    <row r="190" customFormat="false" ht="64" hidden="false" customHeight="true" outlineLevel="0" collapsed="false">
      <c r="A190" s="7" t="s">
        <v>1197</v>
      </c>
      <c r="B190" s="7" t="s">
        <v>1198</v>
      </c>
      <c r="C190" s="7" t="s">
        <v>1199</v>
      </c>
      <c r="D190" s="7" t="s">
        <v>1200</v>
      </c>
      <c r="E190" s="7" t="s">
        <v>4</v>
      </c>
      <c r="F190" s="7" t="s">
        <v>1201</v>
      </c>
      <c r="G190" s="8" t="n">
        <v>40535</v>
      </c>
      <c r="H190" s="7" t="s">
        <v>268</v>
      </c>
      <c r="I190" s="8" t="n">
        <v>43642</v>
      </c>
      <c r="J190" s="7" t="s">
        <v>244</v>
      </c>
      <c r="K190" s="7" t="s">
        <v>245</v>
      </c>
      <c r="L190" s="7" t="s">
        <v>344</v>
      </c>
      <c r="M190" s="7" t="s">
        <v>244</v>
      </c>
      <c r="N190" s="7" t="n">
        <v>1</v>
      </c>
      <c r="O190" s="7" t="n">
        <v>1</v>
      </c>
      <c r="P190" s="7" t="str">
        <f aca="false">HYPERLINK("https://www.cqc.org.uk/location/1-131393780","https://www.cqc.org.uk/location/1-131393780")</f>
        <v>https://www.cqc.org.uk/location/1-131393780</v>
      </c>
      <c r="Q190" s="7" t="s">
        <v>1202</v>
      </c>
      <c r="R190" s="8" t="n">
        <v>46266</v>
      </c>
      <c r="S190" s="8" t="n">
        <v>46267</v>
      </c>
      <c r="T190" s="8" t="n">
        <v>46273</v>
      </c>
      <c r="U190" s="7" t="n">
        <v>10535</v>
      </c>
    </row>
    <row r="191" customFormat="false" ht="64" hidden="false" customHeight="true" outlineLevel="0" collapsed="false">
      <c r="A191" s="9" t="s">
        <v>1203</v>
      </c>
      <c r="B191" s="9" t="s">
        <v>1204</v>
      </c>
      <c r="C191" s="9" t="s">
        <v>1205</v>
      </c>
      <c r="D191" s="9" t="s">
        <v>1206</v>
      </c>
      <c r="E191" s="9" t="s">
        <v>4</v>
      </c>
      <c r="F191" s="9" t="s">
        <v>1207</v>
      </c>
      <c r="G191" s="10" t="n">
        <v>44249</v>
      </c>
      <c r="H191" s="9" t="s">
        <v>268</v>
      </c>
      <c r="I191" s="10" t="n">
        <v>44999</v>
      </c>
      <c r="J191" s="9" t="s">
        <v>244</v>
      </c>
      <c r="K191" s="9" t="s">
        <v>245</v>
      </c>
      <c r="L191" s="9" t="s">
        <v>921</v>
      </c>
      <c r="M191" s="9" t="s">
        <v>244</v>
      </c>
      <c r="N191" s="9" t="n">
        <v>1</v>
      </c>
      <c r="O191" s="9" t="n">
        <v>1</v>
      </c>
      <c r="P191" s="9" t="str">
        <f aca="false">HYPERLINK("https://www.cqc.org.uk/location/1-10432063961","https://www.cqc.org.uk/location/1-10432063961")</f>
        <v>https://www.cqc.org.uk/location/1-10432063961</v>
      </c>
      <c r="Q191" s="9" t="s">
        <v>1208</v>
      </c>
      <c r="R191" s="10" t="n">
        <v>46266</v>
      </c>
      <c r="S191" s="10" t="n">
        <v>46267</v>
      </c>
      <c r="T191" s="10" t="n">
        <v>46273</v>
      </c>
      <c r="U191" s="9" t="n">
        <v>633</v>
      </c>
    </row>
    <row r="192" customFormat="false" ht="64" hidden="false" customHeight="true" outlineLevel="0" collapsed="false">
      <c r="A192" s="7" t="s">
        <v>1209</v>
      </c>
      <c r="B192" s="7" t="s">
        <v>1210</v>
      </c>
      <c r="C192" s="7" t="s">
        <v>1210</v>
      </c>
      <c r="D192" s="7" t="s">
        <v>1211</v>
      </c>
      <c r="E192" s="7" t="s">
        <v>4</v>
      </c>
      <c r="F192" s="7" t="s">
        <v>279</v>
      </c>
      <c r="G192" s="8" t="n">
        <v>44306</v>
      </c>
      <c r="H192" s="7" t="s">
        <v>268</v>
      </c>
      <c r="I192" s="8" t="n">
        <v>44786</v>
      </c>
      <c r="J192" s="7" t="s">
        <v>244</v>
      </c>
      <c r="K192" s="7" t="s">
        <v>252</v>
      </c>
      <c r="L192" s="7" t="s">
        <v>1212</v>
      </c>
      <c r="M192" s="7" t="s">
        <v>254</v>
      </c>
      <c r="N192" s="7" t="n">
        <v>1</v>
      </c>
      <c r="O192" s="7" t="n">
        <v>1</v>
      </c>
      <c r="P192" s="7" t="str">
        <f aca="false">HYPERLINK("https://www.cqc.org.uk/location/1-10649953173","https://www.cqc.org.uk/location/1-10649953173")</f>
        <v>https://www.cqc.org.uk/location/1-10649953173</v>
      </c>
      <c r="Q192" s="7"/>
      <c r="R192" s="8" t="n">
        <v>46266</v>
      </c>
      <c r="S192" s="8" t="n">
        <v>46267</v>
      </c>
      <c r="T192" s="8" t="n">
        <v>46273</v>
      </c>
      <c r="U192" s="7" t="n">
        <v>1080</v>
      </c>
    </row>
    <row r="193" customFormat="false" ht="64" hidden="false" customHeight="true" outlineLevel="0" collapsed="false">
      <c r="A193" s="9" t="s">
        <v>1213</v>
      </c>
      <c r="B193" s="9" t="s">
        <v>1214</v>
      </c>
      <c r="C193" s="9" t="s">
        <v>1214</v>
      </c>
      <c r="D193" s="9" t="s">
        <v>1215</v>
      </c>
      <c r="E193" s="9" t="s">
        <v>4</v>
      </c>
      <c r="F193" s="9" t="s">
        <v>532</v>
      </c>
      <c r="G193" s="10" t="n">
        <v>44292</v>
      </c>
      <c r="H193" s="9"/>
      <c r="I193" s="10"/>
      <c r="J193" s="9"/>
      <c r="K193" s="9" t="s">
        <v>252</v>
      </c>
      <c r="L193" s="9" t="s">
        <v>405</v>
      </c>
      <c r="M193" s="9" t="s">
        <v>254</v>
      </c>
      <c r="N193" s="9" t="n">
        <v>1</v>
      </c>
      <c r="O193" s="9" t="n">
        <v>1</v>
      </c>
      <c r="P193" s="9" t="str">
        <f aca="false">HYPERLINK("https://www.cqc.org.uk/location/1-10530951539","https://www.cqc.org.uk/location/1-10530951539")</f>
        <v>https://www.cqc.org.uk/location/1-10530951539</v>
      </c>
      <c r="Q193" s="9" t="s">
        <v>1216</v>
      </c>
      <c r="R193" s="10" t="n">
        <v>46266</v>
      </c>
      <c r="S193" s="10" t="n">
        <v>46267</v>
      </c>
      <c r="T193" s="10" t="n">
        <v>46273</v>
      </c>
      <c r="U193" s="9" t="n">
        <v>837</v>
      </c>
    </row>
    <row r="194" customFormat="false" ht="64" hidden="false" customHeight="true" outlineLevel="0" collapsed="false">
      <c r="A194" s="7" t="s">
        <v>1217</v>
      </c>
      <c r="B194" s="7" t="s">
        <v>1218</v>
      </c>
      <c r="C194" s="7" t="s">
        <v>1219</v>
      </c>
      <c r="D194" s="7" t="s">
        <v>1220</v>
      </c>
      <c r="E194" s="7" t="s">
        <v>4</v>
      </c>
      <c r="F194" s="7" t="s">
        <v>337</v>
      </c>
      <c r="G194" s="8" t="n">
        <v>45124</v>
      </c>
      <c r="H194" s="7"/>
      <c r="I194" s="8"/>
      <c r="J194" s="7"/>
      <c r="K194" s="7" t="s">
        <v>245</v>
      </c>
      <c r="L194" s="7" t="s">
        <v>1221</v>
      </c>
      <c r="M194" s="7" t="s">
        <v>244</v>
      </c>
      <c r="N194" s="7" t="n">
        <v>2</v>
      </c>
      <c r="O194" s="7" t="n">
        <v>1</v>
      </c>
      <c r="P194" s="7" t="str">
        <f aca="false">HYPERLINK("https://www.cqc.org.uk/location/1-16487698296","https://www.cqc.org.uk/location/1-16487698296")</f>
        <v>https://www.cqc.org.uk/location/1-16487698296</v>
      </c>
      <c r="Q194" s="7" t="s">
        <v>1222</v>
      </c>
      <c r="R194" s="8" t="n">
        <v>46266</v>
      </c>
      <c r="S194" s="8" t="n">
        <v>46267</v>
      </c>
      <c r="T194" s="8" t="n">
        <v>46273</v>
      </c>
      <c r="U194" s="7" t="n">
        <v>17455</v>
      </c>
    </row>
    <row r="195" customFormat="false" ht="64" hidden="false" customHeight="true" outlineLevel="0" collapsed="false">
      <c r="A195" s="9" t="s">
        <v>135</v>
      </c>
      <c r="B195" s="9" t="s">
        <v>136</v>
      </c>
      <c r="C195" s="9" t="s">
        <v>130</v>
      </c>
      <c r="D195" s="9" t="s">
        <v>134</v>
      </c>
      <c r="E195" s="9" t="s">
        <v>4</v>
      </c>
      <c r="F195" s="9" t="s">
        <v>1163</v>
      </c>
      <c r="G195" s="10" t="n">
        <v>44253</v>
      </c>
      <c r="H195" s="9" t="s">
        <v>268</v>
      </c>
      <c r="I195" s="10" t="n">
        <v>44951</v>
      </c>
      <c r="J195" s="9" t="s">
        <v>244</v>
      </c>
      <c r="K195" s="9" t="s">
        <v>252</v>
      </c>
      <c r="L195" s="9" t="s">
        <v>427</v>
      </c>
      <c r="M195" s="9" t="s">
        <v>254</v>
      </c>
      <c r="N195" s="9" t="n">
        <v>3</v>
      </c>
      <c r="O195" s="9" t="n">
        <v>2</v>
      </c>
      <c r="P195" s="9" t="str">
        <f aca="false">HYPERLINK("https://www.cqc.org.uk/location/1-10437669514","https://www.cqc.org.uk/location/1-10437669514")</f>
        <v>https://www.cqc.org.uk/location/1-10437669514</v>
      </c>
      <c r="Q195" s="9"/>
      <c r="R195" s="10" t="n">
        <v>46266</v>
      </c>
      <c r="S195" s="10" t="n">
        <v>46267</v>
      </c>
      <c r="T195" s="10" t="n">
        <v>46273</v>
      </c>
      <c r="U195" s="9" t="n">
        <v>639</v>
      </c>
    </row>
    <row r="196" customFormat="false" ht="64" hidden="false" customHeight="true" outlineLevel="0" collapsed="false">
      <c r="A196" s="7" t="s">
        <v>1223</v>
      </c>
      <c r="B196" s="7" t="s">
        <v>130</v>
      </c>
      <c r="C196" s="7" t="s">
        <v>130</v>
      </c>
      <c r="D196" s="7" t="s">
        <v>134</v>
      </c>
      <c r="E196" s="7" t="s">
        <v>4</v>
      </c>
      <c r="F196" s="7" t="s">
        <v>1163</v>
      </c>
      <c r="G196" s="8" t="n">
        <v>42131</v>
      </c>
      <c r="H196" s="7" t="s">
        <v>243</v>
      </c>
      <c r="I196" s="8" t="n">
        <v>45148</v>
      </c>
      <c r="J196" s="7" t="s">
        <v>244</v>
      </c>
      <c r="K196" s="7" t="s">
        <v>252</v>
      </c>
      <c r="L196" s="7" t="s">
        <v>427</v>
      </c>
      <c r="M196" s="7" t="s">
        <v>254</v>
      </c>
      <c r="N196" s="7" t="n">
        <v>3</v>
      </c>
      <c r="O196" s="7" t="n">
        <v>2</v>
      </c>
      <c r="P196" s="7" t="str">
        <f aca="false">HYPERLINK("https://www.cqc.org.uk/location/1-2054699466","https://www.cqc.org.uk/location/1-2054699466")</f>
        <v>https://www.cqc.org.uk/location/1-2054699466</v>
      </c>
      <c r="Q196" s="7"/>
      <c r="R196" s="8" t="n">
        <v>46266</v>
      </c>
      <c r="S196" s="8" t="n">
        <v>46267</v>
      </c>
      <c r="T196" s="8" t="n">
        <v>46273</v>
      </c>
      <c r="U196" s="7" t="n">
        <v>26220</v>
      </c>
    </row>
    <row r="197" customFormat="false" ht="64" hidden="false" customHeight="true" outlineLevel="0" collapsed="false">
      <c r="A197" s="9" t="s">
        <v>86</v>
      </c>
      <c r="B197" s="9" t="s">
        <v>87</v>
      </c>
      <c r="C197" s="9" t="s">
        <v>80</v>
      </c>
      <c r="D197" s="9" t="s">
        <v>85</v>
      </c>
      <c r="E197" s="9" t="s">
        <v>4</v>
      </c>
      <c r="F197" s="9" t="s">
        <v>1224</v>
      </c>
      <c r="G197" s="10" t="n">
        <v>44260</v>
      </c>
      <c r="H197" s="9" t="s">
        <v>268</v>
      </c>
      <c r="I197" s="10" t="n">
        <v>45861</v>
      </c>
      <c r="J197" s="9" t="s">
        <v>244</v>
      </c>
      <c r="K197" s="9" t="s">
        <v>245</v>
      </c>
      <c r="L197" s="9" t="s">
        <v>1026</v>
      </c>
      <c r="M197" s="9" t="s">
        <v>244</v>
      </c>
      <c r="N197" s="9" t="n">
        <v>5</v>
      </c>
      <c r="O197" s="9" t="n">
        <v>3</v>
      </c>
      <c r="P197" s="9" t="str">
        <f aca="false">HYPERLINK("https://www.cqc.org.uk/location/1-10477635417","https://www.cqc.org.uk/location/1-10477635417")</f>
        <v>https://www.cqc.org.uk/location/1-10477635417</v>
      </c>
      <c r="Q197" s="9" t="s">
        <v>1225</v>
      </c>
      <c r="R197" s="10" t="n">
        <v>46266</v>
      </c>
      <c r="S197" s="10" t="n">
        <v>46267</v>
      </c>
      <c r="T197" s="10" t="n">
        <v>46273</v>
      </c>
      <c r="U197" s="9" t="n">
        <v>702</v>
      </c>
    </row>
    <row r="198" customFormat="false" ht="64" hidden="false" customHeight="true" outlineLevel="0" collapsed="false">
      <c r="A198" s="7" t="s">
        <v>1226</v>
      </c>
      <c r="B198" s="7" t="s">
        <v>1227</v>
      </c>
      <c r="C198" s="7" t="s">
        <v>80</v>
      </c>
      <c r="D198" s="7" t="s">
        <v>85</v>
      </c>
      <c r="E198" s="7" t="s">
        <v>4</v>
      </c>
      <c r="F198" s="7" t="s">
        <v>1228</v>
      </c>
      <c r="G198" s="8" t="n">
        <v>41801</v>
      </c>
      <c r="H198" s="7" t="s">
        <v>268</v>
      </c>
      <c r="I198" s="8" t="n">
        <v>43740</v>
      </c>
      <c r="J198" s="7" t="s">
        <v>244</v>
      </c>
      <c r="K198" s="7" t="s">
        <v>252</v>
      </c>
      <c r="L198" s="7" t="s">
        <v>1229</v>
      </c>
      <c r="M198" s="7" t="s">
        <v>254</v>
      </c>
      <c r="N198" s="7" t="n">
        <v>5</v>
      </c>
      <c r="O198" s="7" t="n">
        <v>3</v>
      </c>
      <c r="P198" s="7" t="str">
        <f aca="false">HYPERLINK("https://www.cqc.org.uk/location/1-1468818119","https://www.cqc.org.uk/location/1-1468818119")</f>
        <v>https://www.cqc.org.uk/location/1-1468818119</v>
      </c>
      <c r="Q198" s="7" t="s">
        <v>1225</v>
      </c>
      <c r="R198" s="8" t="n">
        <v>46266</v>
      </c>
      <c r="S198" s="8" t="n">
        <v>46267</v>
      </c>
      <c r="T198" s="8" t="n">
        <v>46273</v>
      </c>
      <c r="U198" s="7" t="n">
        <v>14557</v>
      </c>
    </row>
    <row r="199" customFormat="false" ht="64" hidden="false" customHeight="true" outlineLevel="0" collapsed="false">
      <c r="A199" s="9" t="s">
        <v>1230</v>
      </c>
      <c r="B199" s="9" t="s">
        <v>1231</v>
      </c>
      <c r="C199" s="9" t="s">
        <v>80</v>
      </c>
      <c r="D199" s="9" t="s">
        <v>85</v>
      </c>
      <c r="E199" s="9" t="s">
        <v>4</v>
      </c>
      <c r="F199" s="9" t="s">
        <v>1232</v>
      </c>
      <c r="G199" s="10" t="n">
        <v>42936</v>
      </c>
      <c r="H199" s="9" t="s">
        <v>268</v>
      </c>
      <c r="I199" s="10" t="n">
        <v>43538</v>
      </c>
      <c r="J199" s="9" t="s">
        <v>244</v>
      </c>
      <c r="K199" s="9" t="s">
        <v>252</v>
      </c>
      <c r="L199" s="9" t="s">
        <v>295</v>
      </c>
      <c r="M199" s="9" t="s">
        <v>254</v>
      </c>
      <c r="N199" s="9" t="n">
        <v>5</v>
      </c>
      <c r="O199" s="9" t="n">
        <v>3</v>
      </c>
      <c r="P199" s="9" t="str">
        <f aca="false">HYPERLINK("https://www.cqc.org.uk/location/1-3959898570","https://www.cqc.org.uk/location/1-3959898570")</f>
        <v>https://www.cqc.org.uk/location/1-3959898570</v>
      </c>
      <c r="Q199" s="9" t="s">
        <v>1225</v>
      </c>
      <c r="R199" s="10" t="n">
        <v>46266</v>
      </c>
      <c r="S199" s="10" t="n">
        <v>46267</v>
      </c>
      <c r="T199" s="10" t="n">
        <v>46273</v>
      </c>
      <c r="U199" s="9" t="n">
        <v>40690</v>
      </c>
    </row>
    <row r="200" customFormat="false" ht="64" hidden="false" customHeight="true" outlineLevel="0" collapsed="false">
      <c r="A200" s="7" t="s">
        <v>1233</v>
      </c>
      <c r="B200" s="7" t="s">
        <v>1234</v>
      </c>
      <c r="C200" s="7" t="s">
        <v>1234</v>
      </c>
      <c r="D200" s="7" t="s">
        <v>1235</v>
      </c>
      <c r="E200" s="7" t="s">
        <v>4</v>
      </c>
      <c r="F200" s="7" t="s">
        <v>426</v>
      </c>
      <c r="G200" s="8" t="n">
        <v>44818</v>
      </c>
      <c r="H200" s="7" t="s">
        <v>260</v>
      </c>
      <c r="I200" s="8"/>
      <c r="J200" s="7" t="s">
        <v>244</v>
      </c>
      <c r="K200" s="7" t="s">
        <v>252</v>
      </c>
      <c r="L200" s="7" t="s">
        <v>1236</v>
      </c>
      <c r="M200" s="7" t="s">
        <v>254</v>
      </c>
      <c r="N200" s="7" t="n">
        <v>1</v>
      </c>
      <c r="O200" s="7" t="n">
        <v>1</v>
      </c>
      <c r="P200" s="7" t="str">
        <f aca="false">HYPERLINK("https://www.cqc.org.uk/location/1-13928160047","https://www.cqc.org.uk/location/1-13928160047")</f>
        <v>https://www.cqc.org.uk/location/1-13928160047</v>
      </c>
      <c r="Q200" s="7" t="s">
        <v>1237</v>
      </c>
      <c r="R200" s="8" t="n">
        <v>46266</v>
      </c>
      <c r="S200" s="8" t="n">
        <v>46267</v>
      </c>
      <c r="T200" s="8" t="n">
        <v>46273</v>
      </c>
      <c r="U200" s="7" t="n">
        <v>12783</v>
      </c>
    </row>
    <row r="201" customFormat="false" ht="64" hidden="false" customHeight="true" outlineLevel="0" collapsed="false">
      <c r="A201" s="9" t="s">
        <v>1238</v>
      </c>
      <c r="B201" s="9" t="s">
        <v>1239</v>
      </c>
      <c r="C201" s="9" t="s">
        <v>1240</v>
      </c>
      <c r="D201" s="9" t="s">
        <v>1241</v>
      </c>
      <c r="E201" s="9" t="s">
        <v>4</v>
      </c>
      <c r="F201" s="9" t="s">
        <v>737</v>
      </c>
      <c r="G201" s="10" t="n">
        <v>45337</v>
      </c>
      <c r="H201" s="9"/>
      <c r="I201" s="10"/>
      <c r="J201" s="9"/>
      <c r="K201" s="9" t="s">
        <v>252</v>
      </c>
      <c r="L201" s="9" t="s">
        <v>1242</v>
      </c>
      <c r="M201" s="9" t="s">
        <v>254</v>
      </c>
      <c r="N201" s="9" t="n">
        <v>1</v>
      </c>
      <c r="O201" s="9" t="n">
        <v>1</v>
      </c>
      <c r="P201" s="9" t="str">
        <f aca="false">HYPERLINK("https://www.cqc.org.uk/location/1-18736752790","https://www.cqc.org.uk/location/1-18736752790")</f>
        <v>https://www.cqc.org.uk/location/1-18736752790</v>
      </c>
      <c r="Q201" s="9"/>
      <c r="R201" s="10" t="n">
        <v>46266</v>
      </c>
      <c r="S201" s="10" t="n">
        <v>46267</v>
      </c>
      <c r="T201" s="10" t="n">
        <v>46273</v>
      </c>
      <c r="U201" s="9" t="n">
        <v>20393</v>
      </c>
    </row>
    <row r="202" customFormat="false" ht="64" hidden="false" customHeight="true" outlineLevel="0" collapsed="false">
      <c r="A202" s="7" t="s">
        <v>1243</v>
      </c>
      <c r="B202" s="7" t="s">
        <v>1244</v>
      </c>
      <c r="C202" s="7" t="s">
        <v>1245</v>
      </c>
      <c r="D202" s="7" t="s">
        <v>1246</v>
      </c>
      <c r="E202" s="7" t="s">
        <v>4</v>
      </c>
      <c r="F202" s="7" t="s">
        <v>1247</v>
      </c>
      <c r="G202" s="8" t="n">
        <v>44614</v>
      </c>
      <c r="H202" s="7" t="s">
        <v>268</v>
      </c>
      <c r="I202" s="8" t="n">
        <v>43414</v>
      </c>
      <c r="J202" s="7" t="s">
        <v>254</v>
      </c>
      <c r="K202" s="7" t="s">
        <v>252</v>
      </c>
      <c r="L202" s="7" t="s">
        <v>386</v>
      </c>
      <c r="M202" s="7" t="s">
        <v>254</v>
      </c>
      <c r="N202" s="7" t="n">
        <v>1</v>
      </c>
      <c r="O202" s="7" t="n">
        <v>1</v>
      </c>
      <c r="P202" s="7" t="str">
        <f aca="false">HYPERLINK("https://www.cqc.org.uk/location/1-12560780076","https://www.cqc.org.uk/location/1-12560780076")</f>
        <v>https://www.cqc.org.uk/location/1-12560780076</v>
      </c>
      <c r="Q202" s="7" t="s">
        <v>1248</v>
      </c>
      <c r="R202" s="8" t="n">
        <v>46266</v>
      </c>
      <c r="S202" s="8" t="n">
        <v>46267</v>
      </c>
      <c r="T202" s="8" t="n">
        <v>46273</v>
      </c>
      <c r="U202" s="7" t="n">
        <v>8147</v>
      </c>
    </row>
    <row r="203" customFormat="false" ht="64" hidden="false" customHeight="true" outlineLevel="0" collapsed="false">
      <c r="A203" s="9" t="s">
        <v>1249</v>
      </c>
      <c r="B203" s="9" t="s">
        <v>1250</v>
      </c>
      <c r="C203" s="9" t="s">
        <v>1250</v>
      </c>
      <c r="D203" s="9" t="s">
        <v>1251</v>
      </c>
      <c r="E203" s="9" t="s">
        <v>4</v>
      </c>
      <c r="F203" s="9" t="s">
        <v>784</v>
      </c>
      <c r="G203" s="10" t="n">
        <v>45561</v>
      </c>
      <c r="H203" s="9"/>
      <c r="I203" s="10"/>
      <c r="J203" s="9"/>
      <c r="K203" s="9" t="s">
        <v>252</v>
      </c>
      <c r="L203" s="9" t="s">
        <v>269</v>
      </c>
      <c r="M203" s="9" t="s">
        <v>254</v>
      </c>
      <c r="N203" s="9" t="n">
        <v>1</v>
      </c>
      <c r="O203" s="9" t="n">
        <v>1</v>
      </c>
      <c r="P203" s="9" t="str">
        <f aca="false">HYPERLINK("https://www.cqc.org.uk/location/1-19896780355","https://www.cqc.org.uk/location/1-19896780355")</f>
        <v>https://www.cqc.org.uk/location/1-19896780355</v>
      </c>
      <c r="Q203" s="9"/>
      <c r="R203" s="10" t="n">
        <v>46266</v>
      </c>
      <c r="S203" s="10" t="n">
        <v>46267</v>
      </c>
      <c r="T203" s="10" t="n">
        <v>46273</v>
      </c>
      <c r="U203" s="9" t="n">
        <v>24537</v>
      </c>
    </row>
    <row r="204" customFormat="false" ht="64" hidden="false" customHeight="true" outlineLevel="0" collapsed="false">
      <c r="A204" s="7" t="s">
        <v>1252</v>
      </c>
      <c r="B204" s="7" t="s">
        <v>1253</v>
      </c>
      <c r="C204" s="7" t="s">
        <v>1253</v>
      </c>
      <c r="D204" s="7" t="s">
        <v>1254</v>
      </c>
      <c r="E204" s="7" t="s">
        <v>4</v>
      </c>
      <c r="F204" s="7" t="s">
        <v>1255</v>
      </c>
      <c r="G204" s="8" t="n">
        <v>44000</v>
      </c>
      <c r="H204" s="7" t="s">
        <v>243</v>
      </c>
      <c r="I204" s="8" t="n">
        <v>44644</v>
      </c>
      <c r="J204" s="7" t="s">
        <v>244</v>
      </c>
      <c r="K204" s="7" t="s">
        <v>252</v>
      </c>
      <c r="L204" s="7" t="s">
        <v>315</v>
      </c>
      <c r="M204" s="7" t="s">
        <v>254</v>
      </c>
      <c r="N204" s="7" t="n">
        <v>2</v>
      </c>
      <c r="O204" s="7" t="n">
        <v>1</v>
      </c>
      <c r="P204" s="7" t="str">
        <f aca="false">HYPERLINK("https://www.cqc.org.uk/location/1-9068205346","https://www.cqc.org.uk/location/1-9068205346")</f>
        <v>https://www.cqc.org.uk/location/1-9068205346</v>
      </c>
      <c r="Q204" s="7" t="s">
        <v>1256</v>
      </c>
      <c r="R204" s="8" t="n">
        <v>46266</v>
      </c>
      <c r="S204" s="8" t="n">
        <v>46267</v>
      </c>
      <c r="T204" s="8" t="n">
        <v>46273</v>
      </c>
      <c r="U204" s="7" t="n">
        <v>53782</v>
      </c>
    </row>
    <row r="205" customFormat="false" ht="64" hidden="false" customHeight="true" outlineLevel="0" collapsed="false">
      <c r="A205" s="9" t="s">
        <v>1257</v>
      </c>
      <c r="B205" s="9" t="s">
        <v>1258</v>
      </c>
      <c r="C205" s="9" t="s">
        <v>1259</v>
      </c>
      <c r="D205" s="9" t="s">
        <v>1260</v>
      </c>
      <c r="E205" s="9" t="s">
        <v>4</v>
      </c>
      <c r="F205" s="9" t="s">
        <v>403</v>
      </c>
      <c r="G205" s="10" t="n">
        <v>42205</v>
      </c>
      <c r="H205" s="9" t="s">
        <v>268</v>
      </c>
      <c r="I205" s="10" t="n">
        <v>43357</v>
      </c>
      <c r="J205" s="9" t="s">
        <v>244</v>
      </c>
      <c r="K205" s="9" t="s">
        <v>726</v>
      </c>
      <c r="L205" s="9" t="s">
        <v>315</v>
      </c>
      <c r="M205" s="9" t="s">
        <v>254</v>
      </c>
      <c r="N205" s="9" t="n">
        <v>1</v>
      </c>
      <c r="O205" s="9" t="n">
        <v>1</v>
      </c>
      <c r="P205" s="9" t="str">
        <f aca="false">HYPERLINK("https://www.cqc.org.uk/location/1-2128040235","https://www.cqc.org.uk/location/1-2128040235")</f>
        <v>https://www.cqc.org.uk/location/1-2128040235</v>
      </c>
      <c r="Q205" s="9" t="s">
        <v>1261</v>
      </c>
      <c r="R205" s="10" t="n">
        <v>46266</v>
      </c>
      <c r="S205" s="10" t="n">
        <v>46267</v>
      </c>
      <c r="T205" s="10" t="n">
        <v>46273</v>
      </c>
      <c r="U205" s="9" t="n">
        <v>27225</v>
      </c>
    </row>
    <row r="206" customFormat="false" ht="64" hidden="false" customHeight="true" outlineLevel="0" collapsed="false">
      <c r="A206" s="7" t="s">
        <v>1262</v>
      </c>
      <c r="B206" s="7" t="s">
        <v>1263</v>
      </c>
      <c r="C206" s="7" t="s">
        <v>137</v>
      </c>
      <c r="D206" s="7" t="s">
        <v>141</v>
      </c>
      <c r="E206" s="7" t="s">
        <v>4</v>
      </c>
      <c r="F206" s="7" t="s">
        <v>1264</v>
      </c>
      <c r="G206" s="8" t="n">
        <v>44685</v>
      </c>
      <c r="H206" s="7" t="s">
        <v>268</v>
      </c>
      <c r="I206" s="8" t="n">
        <v>43750</v>
      </c>
      <c r="J206" s="7" t="s">
        <v>254</v>
      </c>
      <c r="K206" s="7" t="s">
        <v>245</v>
      </c>
      <c r="L206" s="7" t="s">
        <v>386</v>
      </c>
      <c r="M206" s="7" t="s">
        <v>244</v>
      </c>
      <c r="N206" s="7" t="n">
        <v>2</v>
      </c>
      <c r="O206" s="7" t="n">
        <v>2</v>
      </c>
      <c r="P206" s="7" t="str">
        <f aca="false">HYPERLINK("https://www.cqc.org.uk/location/1-13059199589","https://www.cqc.org.uk/location/1-13059199589")</f>
        <v>https://www.cqc.org.uk/location/1-13059199589</v>
      </c>
      <c r="Q206" s="7"/>
      <c r="R206" s="8" t="n">
        <v>46266</v>
      </c>
      <c r="S206" s="8" t="n">
        <v>46267</v>
      </c>
      <c r="T206" s="8" t="n">
        <v>46273</v>
      </c>
      <c r="U206" s="7" t="n">
        <v>10340</v>
      </c>
    </row>
    <row r="207" customFormat="false" ht="64" hidden="false" customHeight="true" outlineLevel="0" collapsed="false">
      <c r="A207" s="9" t="s">
        <v>1265</v>
      </c>
      <c r="B207" s="9" t="s">
        <v>1266</v>
      </c>
      <c r="C207" s="9" t="s">
        <v>1267</v>
      </c>
      <c r="D207" s="9" t="s">
        <v>1268</v>
      </c>
      <c r="E207" s="9" t="s">
        <v>4</v>
      </c>
      <c r="F207" s="9" t="s">
        <v>426</v>
      </c>
      <c r="G207" s="10" t="n">
        <v>44070</v>
      </c>
      <c r="H207" s="9" t="s">
        <v>268</v>
      </c>
      <c r="I207" s="10" t="n">
        <v>44611</v>
      </c>
      <c r="J207" s="9" t="s">
        <v>244</v>
      </c>
      <c r="K207" s="9" t="s">
        <v>252</v>
      </c>
      <c r="L207" s="9" t="s">
        <v>308</v>
      </c>
      <c r="M207" s="9" t="s">
        <v>254</v>
      </c>
      <c r="N207" s="9" t="n">
        <v>1</v>
      </c>
      <c r="O207" s="9" t="n">
        <v>1</v>
      </c>
      <c r="P207" s="9" t="str">
        <f aca="false">HYPERLINK("https://www.cqc.org.uk/location/1-9407249785","https://www.cqc.org.uk/location/1-9407249785")</f>
        <v>https://www.cqc.org.uk/location/1-9407249785</v>
      </c>
      <c r="Q207" s="9" t="s">
        <v>1269</v>
      </c>
      <c r="R207" s="10" t="n">
        <v>46266</v>
      </c>
      <c r="S207" s="10" t="n">
        <v>46267</v>
      </c>
      <c r="T207" s="10" t="n">
        <v>46273</v>
      </c>
      <c r="U207" s="9" t="n">
        <v>54349</v>
      </c>
    </row>
    <row r="208" customFormat="false" ht="64" hidden="false" customHeight="true" outlineLevel="0" collapsed="false">
      <c r="A208" s="7" t="s">
        <v>1270</v>
      </c>
      <c r="B208" s="7" t="s">
        <v>1271</v>
      </c>
      <c r="C208" s="7" t="s">
        <v>1271</v>
      </c>
      <c r="D208" s="7" t="s">
        <v>1272</v>
      </c>
      <c r="E208" s="7" t="s">
        <v>4</v>
      </c>
      <c r="F208" s="7" t="s">
        <v>1273</v>
      </c>
      <c r="G208" s="8" t="n">
        <v>45314</v>
      </c>
      <c r="H208" s="7"/>
      <c r="I208" s="8"/>
      <c r="J208" s="7"/>
      <c r="K208" s="7" t="s">
        <v>252</v>
      </c>
      <c r="L208" s="7" t="s">
        <v>848</v>
      </c>
      <c r="M208" s="7" t="s">
        <v>254</v>
      </c>
      <c r="N208" s="7" t="n">
        <v>1</v>
      </c>
      <c r="O208" s="7" t="n">
        <v>1</v>
      </c>
      <c r="P208" s="7" t="str">
        <f aca="false">HYPERLINK("https://www.cqc.org.uk/location/1-18480814981","https://www.cqc.org.uk/location/1-18480814981")</f>
        <v>https://www.cqc.org.uk/location/1-18480814981</v>
      </c>
      <c r="Q208" s="7" t="s">
        <v>1274</v>
      </c>
      <c r="R208" s="8" t="n">
        <v>46266</v>
      </c>
      <c r="S208" s="8" t="n">
        <v>46267</v>
      </c>
      <c r="T208" s="8" t="n">
        <v>46273</v>
      </c>
      <c r="U208" s="7" t="n">
        <v>20077</v>
      </c>
    </row>
    <row r="209" customFormat="false" ht="64" hidden="false" customHeight="true" outlineLevel="0" collapsed="false">
      <c r="A209" s="9" t="s">
        <v>161</v>
      </c>
      <c r="B209" s="9" t="s">
        <v>156</v>
      </c>
      <c r="C209" s="9" t="s">
        <v>156</v>
      </c>
      <c r="D209" s="9" t="s">
        <v>160</v>
      </c>
      <c r="E209" s="9" t="s">
        <v>4</v>
      </c>
      <c r="F209" s="9" t="s">
        <v>1275</v>
      </c>
      <c r="G209" s="10" t="n">
        <v>46230</v>
      </c>
      <c r="H209" s="9"/>
      <c r="I209" s="10"/>
      <c r="J209" s="9"/>
      <c r="K209" s="9" t="s">
        <v>245</v>
      </c>
      <c r="L209" s="9" t="s">
        <v>1276</v>
      </c>
      <c r="M209" s="9" t="s">
        <v>244</v>
      </c>
      <c r="N209" s="9" t="n">
        <v>2</v>
      </c>
      <c r="O209" s="9" t="n">
        <v>1</v>
      </c>
      <c r="P209" s="9" t="str">
        <f aca="false">HYPERLINK("https://www.cqc.org.uk/location/1-29000938515","https://www.cqc.org.uk/location/1-29000938515")</f>
        <v>https://www.cqc.org.uk/location/1-29000938515</v>
      </c>
      <c r="Q209" s="9" t="s">
        <v>1277</v>
      </c>
      <c r="R209" s="10" t="n">
        <v>46266</v>
      </c>
      <c r="S209" s="10" t="n">
        <v>46267</v>
      </c>
      <c r="T209" s="10" t="n">
        <v>46273</v>
      </c>
      <c r="U209" s="9" t="n">
        <v>37630</v>
      </c>
    </row>
    <row r="210" customFormat="false" ht="64" hidden="false" customHeight="true" outlineLevel="0" collapsed="false">
      <c r="A210" s="7" t="s">
        <v>1278</v>
      </c>
      <c r="B210" s="7" t="s">
        <v>1279</v>
      </c>
      <c r="C210" s="7" t="s">
        <v>1279</v>
      </c>
      <c r="D210" s="7" t="s">
        <v>1280</v>
      </c>
      <c r="E210" s="7" t="s">
        <v>4</v>
      </c>
      <c r="F210" s="7" t="s">
        <v>737</v>
      </c>
      <c r="G210" s="8" t="n">
        <v>44839</v>
      </c>
      <c r="H210" s="7"/>
      <c r="I210" s="8"/>
      <c r="J210" s="7"/>
      <c r="K210" s="7" t="s">
        <v>245</v>
      </c>
      <c r="L210" s="7" t="s">
        <v>405</v>
      </c>
      <c r="M210" s="7" t="s">
        <v>244</v>
      </c>
      <c r="N210" s="7" t="n">
        <v>1</v>
      </c>
      <c r="O210" s="7" t="n">
        <v>1</v>
      </c>
      <c r="P210" s="7" t="str">
        <f aca="false">HYPERLINK("https://www.cqc.org.uk/location/1-13943736517","https://www.cqc.org.uk/location/1-13943736517")</f>
        <v>https://www.cqc.org.uk/location/1-13943736517</v>
      </c>
      <c r="Q210" s="7"/>
      <c r="R210" s="8" t="n">
        <v>46266</v>
      </c>
      <c r="S210" s="8" t="n">
        <v>46267</v>
      </c>
      <c r="T210" s="8" t="n">
        <v>46273</v>
      </c>
      <c r="U210" s="7" t="n">
        <v>12958</v>
      </c>
    </row>
    <row r="211" customFormat="false" ht="64" hidden="false" customHeight="true" outlineLevel="0" collapsed="false">
      <c r="A211" s="9" t="s">
        <v>1281</v>
      </c>
      <c r="B211" s="9" t="s">
        <v>1282</v>
      </c>
      <c r="C211" s="9" t="s">
        <v>1282</v>
      </c>
      <c r="D211" s="9" t="s">
        <v>1283</v>
      </c>
      <c r="E211" s="9" t="s">
        <v>4</v>
      </c>
      <c r="F211" s="9" t="s">
        <v>504</v>
      </c>
      <c r="G211" s="10" t="n">
        <v>42898</v>
      </c>
      <c r="H211" s="9" t="s">
        <v>268</v>
      </c>
      <c r="I211" s="10" t="n">
        <v>44387</v>
      </c>
      <c r="J211" s="9" t="s">
        <v>244</v>
      </c>
      <c r="K211" s="9" t="s">
        <v>252</v>
      </c>
      <c r="L211" s="9" t="s">
        <v>315</v>
      </c>
      <c r="M211" s="9" t="s">
        <v>254</v>
      </c>
      <c r="N211" s="9" t="n">
        <v>1</v>
      </c>
      <c r="O211" s="9" t="n">
        <v>1</v>
      </c>
      <c r="P211" s="9" t="str">
        <f aca="false">HYPERLINK("https://www.cqc.org.uk/location/1-3769281126","https://www.cqc.org.uk/location/1-3769281126")</f>
        <v>https://www.cqc.org.uk/location/1-3769281126</v>
      </c>
      <c r="Q211" s="9" t="s">
        <v>1284</v>
      </c>
      <c r="R211" s="10" t="n">
        <v>46266</v>
      </c>
      <c r="S211" s="10" t="n">
        <v>46267</v>
      </c>
      <c r="T211" s="10" t="n">
        <v>46273</v>
      </c>
      <c r="U211" s="9" t="n">
        <v>40247</v>
      </c>
    </row>
    <row r="212" customFormat="false" ht="64" hidden="false" customHeight="true" outlineLevel="0" collapsed="false">
      <c r="A212" s="7" t="s">
        <v>1285</v>
      </c>
      <c r="B212" s="7" t="s">
        <v>1286</v>
      </c>
      <c r="C212" s="7" t="s">
        <v>1286</v>
      </c>
      <c r="D212" s="7" t="s">
        <v>1287</v>
      </c>
      <c r="E212" s="7" t="s">
        <v>4</v>
      </c>
      <c r="F212" s="7" t="s">
        <v>1288</v>
      </c>
      <c r="G212" s="8" t="n">
        <v>42359</v>
      </c>
      <c r="H212" s="7" t="s">
        <v>268</v>
      </c>
      <c r="I212" s="8" t="n">
        <v>43551</v>
      </c>
      <c r="J212" s="7" t="s">
        <v>244</v>
      </c>
      <c r="K212" s="7" t="s">
        <v>252</v>
      </c>
      <c r="L212" s="7" t="s">
        <v>772</v>
      </c>
      <c r="M212" s="7" t="s">
        <v>254</v>
      </c>
      <c r="N212" s="7" t="n">
        <v>1</v>
      </c>
      <c r="O212" s="7" t="n">
        <v>1</v>
      </c>
      <c r="P212" s="7" t="str">
        <f aca="false">HYPERLINK("https://www.cqc.org.uk/location/1-2344486531","https://www.cqc.org.uk/location/1-2344486531")</f>
        <v>https://www.cqc.org.uk/location/1-2344486531</v>
      </c>
      <c r="Q212" s="7"/>
      <c r="R212" s="8" t="n">
        <v>46266</v>
      </c>
      <c r="S212" s="8" t="n">
        <v>46267</v>
      </c>
      <c r="T212" s="8" t="n">
        <v>46273</v>
      </c>
      <c r="U212" s="7" t="n">
        <v>30899</v>
      </c>
    </row>
    <row r="213" customFormat="false" ht="64" hidden="false" customHeight="true" outlineLevel="0" collapsed="false">
      <c r="A213" s="9" t="s">
        <v>1289</v>
      </c>
      <c r="B213" s="9" t="s">
        <v>1290</v>
      </c>
      <c r="C213" s="9" t="s">
        <v>1290</v>
      </c>
      <c r="D213" s="9" t="s">
        <v>1291</v>
      </c>
      <c r="E213" s="9" t="s">
        <v>4</v>
      </c>
      <c r="F213" s="9" t="s">
        <v>1292</v>
      </c>
      <c r="G213" s="10" t="n">
        <v>43866</v>
      </c>
      <c r="H213" s="9" t="s">
        <v>268</v>
      </c>
      <c r="I213" s="10" t="n">
        <v>45645</v>
      </c>
      <c r="J213" s="9" t="s">
        <v>244</v>
      </c>
      <c r="K213" s="9" t="s">
        <v>245</v>
      </c>
      <c r="L213" s="9" t="s">
        <v>338</v>
      </c>
      <c r="M213" s="9" t="s">
        <v>244</v>
      </c>
      <c r="N213" s="9" t="n">
        <v>1</v>
      </c>
      <c r="O213" s="9" t="n">
        <v>1</v>
      </c>
      <c r="P213" s="9" t="str">
        <f aca="false">HYPERLINK("https://www.cqc.org.uk/location/1-8326168146","https://www.cqc.org.uk/location/1-8326168146")</f>
        <v>https://www.cqc.org.uk/location/1-8326168146</v>
      </c>
      <c r="Q213" s="9" t="s">
        <v>1293</v>
      </c>
      <c r="R213" s="10" t="n">
        <v>46266</v>
      </c>
      <c r="S213" s="10" t="n">
        <v>46267</v>
      </c>
      <c r="T213" s="10" t="n">
        <v>46273</v>
      </c>
      <c r="U213" s="9" t="n">
        <v>52759</v>
      </c>
    </row>
    <row r="214" customFormat="false" ht="64" hidden="false" customHeight="true" outlineLevel="0" collapsed="false">
      <c r="A214" s="7" t="s">
        <v>1294</v>
      </c>
      <c r="B214" s="7" t="s">
        <v>1295</v>
      </c>
      <c r="C214" s="7" t="s">
        <v>1296</v>
      </c>
      <c r="D214" s="7" t="s">
        <v>1297</v>
      </c>
      <c r="E214" s="7" t="s">
        <v>4</v>
      </c>
      <c r="F214" s="7" t="s">
        <v>1298</v>
      </c>
      <c r="G214" s="8" t="n">
        <v>43644</v>
      </c>
      <c r="H214" s="7" t="s">
        <v>243</v>
      </c>
      <c r="I214" s="8" t="n">
        <v>44713</v>
      </c>
      <c r="J214" s="7" t="s">
        <v>244</v>
      </c>
      <c r="K214" s="7" t="s">
        <v>252</v>
      </c>
      <c r="L214" s="7" t="s">
        <v>451</v>
      </c>
      <c r="M214" s="7" t="s">
        <v>254</v>
      </c>
      <c r="N214" s="7" t="n">
        <v>2</v>
      </c>
      <c r="O214" s="7" t="n">
        <v>1</v>
      </c>
      <c r="P214" s="7" t="str">
        <f aca="false">HYPERLINK("https://www.cqc.org.uk/location/1-7089203561","https://www.cqc.org.uk/location/1-7089203561")</f>
        <v>https://www.cqc.org.uk/location/1-7089203561</v>
      </c>
      <c r="Q214" s="7" t="s">
        <v>1299</v>
      </c>
      <c r="R214" s="8" t="n">
        <v>46266</v>
      </c>
      <c r="S214" s="8" t="n">
        <v>46267</v>
      </c>
      <c r="T214" s="8" t="n">
        <v>46273</v>
      </c>
      <c r="U214" s="7" t="n">
        <v>51075</v>
      </c>
    </row>
    <row r="215" customFormat="false" ht="64" hidden="false" customHeight="true" outlineLevel="0" collapsed="false">
      <c r="A215" s="9" t="s">
        <v>1300</v>
      </c>
      <c r="B215" s="9" t="s">
        <v>1301</v>
      </c>
      <c r="C215" s="9" t="s">
        <v>1302</v>
      </c>
      <c r="D215" s="9" t="s">
        <v>1303</v>
      </c>
      <c r="E215" s="9" t="s">
        <v>4</v>
      </c>
      <c r="F215" s="9" t="s">
        <v>1304</v>
      </c>
      <c r="G215" s="10" t="n">
        <v>43563</v>
      </c>
      <c r="H215" s="9" t="s">
        <v>243</v>
      </c>
      <c r="I215" s="10" t="n">
        <v>43915</v>
      </c>
      <c r="J215" s="9" t="s">
        <v>244</v>
      </c>
      <c r="K215" s="9" t="s">
        <v>245</v>
      </c>
      <c r="L215" s="9" t="s">
        <v>280</v>
      </c>
      <c r="M215" s="9" t="s">
        <v>244</v>
      </c>
      <c r="N215" s="9" t="n">
        <v>1</v>
      </c>
      <c r="O215" s="9" t="n">
        <v>1</v>
      </c>
      <c r="P215" s="9" t="str">
        <f aca="false">HYPERLINK("https://www.cqc.org.uk/location/1-6401041158","https://www.cqc.org.uk/location/1-6401041158")</f>
        <v>https://www.cqc.org.uk/location/1-6401041158</v>
      </c>
      <c r="Q215" s="9"/>
      <c r="R215" s="10" t="n">
        <v>46266</v>
      </c>
      <c r="S215" s="10" t="n">
        <v>46267</v>
      </c>
      <c r="T215" s="10" t="n">
        <v>46273</v>
      </c>
      <c r="U215" s="9" t="n">
        <v>49890</v>
      </c>
    </row>
    <row r="216" customFormat="false" ht="64" hidden="false" customHeight="true" outlineLevel="0" collapsed="false">
      <c r="A216" s="7" t="s">
        <v>148</v>
      </c>
      <c r="B216" s="7" t="s">
        <v>149</v>
      </c>
      <c r="C216" s="7" t="s">
        <v>144</v>
      </c>
      <c r="D216" s="7" t="s">
        <v>147</v>
      </c>
      <c r="E216" s="7" t="s">
        <v>4</v>
      </c>
      <c r="F216" s="7" t="s">
        <v>1174</v>
      </c>
      <c r="G216" s="8" t="n">
        <v>46029</v>
      </c>
      <c r="H216" s="7"/>
      <c r="I216" s="8"/>
      <c r="J216" s="7"/>
      <c r="K216" s="7" t="s">
        <v>252</v>
      </c>
      <c r="L216" s="7" t="s">
        <v>364</v>
      </c>
      <c r="M216" s="7" t="s">
        <v>254</v>
      </c>
      <c r="N216" s="7" t="n">
        <v>3</v>
      </c>
      <c r="O216" s="7" t="n">
        <v>2</v>
      </c>
      <c r="P216" s="7" t="str">
        <f aca="false">HYPERLINK("https://www.cqc.org.uk/location/1-25872774764","https://www.cqc.org.uk/location/1-25872774764")</f>
        <v>https://www.cqc.org.uk/location/1-25872774764</v>
      </c>
      <c r="Q216" s="7" t="s">
        <v>1175</v>
      </c>
      <c r="R216" s="8" t="n">
        <v>46266</v>
      </c>
      <c r="S216" s="8" t="n">
        <v>46267</v>
      </c>
      <c r="T216" s="8" t="n">
        <v>46273</v>
      </c>
      <c r="U216" s="7" t="n">
        <v>34085</v>
      </c>
    </row>
    <row r="217" customFormat="false" ht="64" hidden="false" customHeight="true" outlineLevel="0" collapsed="false">
      <c r="A217" s="9" t="s">
        <v>1305</v>
      </c>
      <c r="B217" s="9" t="s">
        <v>1306</v>
      </c>
      <c r="C217" s="9" t="s">
        <v>144</v>
      </c>
      <c r="D217" s="9" t="s">
        <v>147</v>
      </c>
      <c r="E217" s="9" t="s">
        <v>4</v>
      </c>
      <c r="F217" s="9" t="s">
        <v>1174</v>
      </c>
      <c r="G217" s="10" t="n">
        <v>41295</v>
      </c>
      <c r="H217" s="9" t="s">
        <v>260</v>
      </c>
      <c r="I217" s="10"/>
      <c r="J217" s="9" t="s">
        <v>244</v>
      </c>
      <c r="K217" s="9" t="s">
        <v>252</v>
      </c>
      <c r="L217" s="9" t="s">
        <v>1307</v>
      </c>
      <c r="M217" s="9" t="s">
        <v>254</v>
      </c>
      <c r="N217" s="9" t="n">
        <v>3</v>
      </c>
      <c r="O217" s="9" t="n">
        <v>2</v>
      </c>
      <c r="P217" s="9" t="str">
        <f aca="false">HYPERLINK("https://www.cqc.org.uk/location/1-588159967","https://www.cqc.org.uk/location/1-588159967")</f>
        <v>https://www.cqc.org.uk/location/1-588159967</v>
      </c>
      <c r="Q217" s="9" t="s">
        <v>1175</v>
      </c>
      <c r="R217" s="10" t="n">
        <v>46266</v>
      </c>
      <c r="S217" s="10" t="n">
        <v>46267</v>
      </c>
      <c r="T217" s="10" t="n">
        <v>46273</v>
      </c>
      <c r="U217" s="9" t="n">
        <v>48851</v>
      </c>
    </row>
    <row r="218" customFormat="false" ht="64" hidden="false" customHeight="true" outlineLevel="0" collapsed="false">
      <c r="A218" s="7" t="s">
        <v>1308</v>
      </c>
      <c r="B218" s="7" t="s">
        <v>1309</v>
      </c>
      <c r="C218" s="7" t="s">
        <v>1309</v>
      </c>
      <c r="D218" s="7" t="s">
        <v>1310</v>
      </c>
      <c r="E218" s="7" t="s">
        <v>4</v>
      </c>
      <c r="F218" s="7" t="s">
        <v>1311</v>
      </c>
      <c r="G218" s="8" t="n">
        <v>43873</v>
      </c>
      <c r="H218" s="7" t="s">
        <v>243</v>
      </c>
      <c r="I218" s="8" t="n">
        <v>45077</v>
      </c>
      <c r="J218" s="7" t="s">
        <v>244</v>
      </c>
      <c r="K218" s="7" t="s">
        <v>245</v>
      </c>
      <c r="L218" s="7" t="s">
        <v>427</v>
      </c>
      <c r="M218" s="7" t="s">
        <v>244</v>
      </c>
      <c r="N218" s="7" t="n">
        <v>3</v>
      </c>
      <c r="O218" s="7" t="n">
        <v>1</v>
      </c>
      <c r="P218" s="7" t="str">
        <f aca="false">HYPERLINK("https://www.cqc.org.uk/location/1-8366376267","https://www.cqc.org.uk/location/1-8366376267")</f>
        <v>https://www.cqc.org.uk/location/1-8366376267</v>
      </c>
      <c r="Q218" s="7" t="s">
        <v>1312</v>
      </c>
      <c r="R218" s="8" t="n">
        <v>46266</v>
      </c>
      <c r="S218" s="8" t="n">
        <v>46267</v>
      </c>
      <c r="T218" s="8" t="n">
        <v>46273</v>
      </c>
      <c r="U218" s="7" t="n">
        <v>52804</v>
      </c>
    </row>
    <row r="219" customFormat="false" ht="64" hidden="false" customHeight="true" outlineLevel="0" collapsed="false">
      <c r="A219" s="9" t="s">
        <v>1313</v>
      </c>
      <c r="B219" s="9" t="s">
        <v>1314</v>
      </c>
      <c r="C219" s="9" t="s">
        <v>1315</v>
      </c>
      <c r="D219" s="9" t="s">
        <v>1316</v>
      </c>
      <c r="E219" s="9" t="s">
        <v>4</v>
      </c>
      <c r="F219" s="9" t="s">
        <v>1317</v>
      </c>
      <c r="G219" s="10" t="n">
        <v>43026</v>
      </c>
      <c r="H219" s="9" t="s">
        <v>243</v>
      </c>
      <c r="I219" s="10" t="n">
        <v>44209</v>
      </c>
      <c r="J219" s="9" t="s">
        <v>244</v>
      </c>
      <c r="K219" s="9" t="s">
        <v>252</v>
      </c>
      <c r="L219" s="9" t="s">
        <v>1318</v>
      </c>
      <c r="M219" s="9" t="s">
        <v>254</v>
      </c>
      <c r="N219" s="9" t="n">
        <v>6</v>
      </c>
      <c r="O219" s="9" t="n">
        <v>1</v>
      </c>
      <c r="P219" s="9" t="str">
        <f aca="false">HYPERLINK("https://www.cqc.org.uk/location/1-4247041385","https://www.cqc.org.uk/location/1-4247041385")</f>
        <v>https://www.cqc.org.uk/location/1-4247041385</v>
      </c>
      <c r="Q219" s="9" t="s">
        <v>1319</v>
      </c>
      <c r="R219" s="10" t="n">
        <v>46266</v>
      </c>
      <c r="S219" s="10" t="n">
        <v>46267</v>
      </c>
      <c r="T219" s="10" t="n">
        <v>46273</v>
      </c>
      <c r="U219" s="9" t="n">
        <v>41462</v>
      </c>
    </row>
    <row r="220" customFormat="false" ht="64" hidden="false" customHeight="true" outlineLevel="0" collapsed="false">
      <c r="A220" s="7" t="s">
        <v>1320</v>
      </c>
      <c r="B220" s="7" t="s">
        <v>1321</v>
      </c>
      <c r="C220" s="7" t="s">
        <v>1321</v>
      </c>
      <c r="D220" s="7" t="s">
        <v>1322</v>
      </c>
      <c r="E220" s="7" t="s">
        <v>4</v>
      </c>
      <c r="F220" s="7" t="s">
        <v>1323</v>
      </c>
      <c r="G220" s="8" t="n">
        <v>40870</v>
      </c>
      <c r="H220" s="7" t="s">
        <v>268</v>
      </c>
      <c r="I220" s="8" t="n">
        <v>43559</v>
      </c>
      <c r="J220" s="7" t="s">
        <v>244</v>
      </c>
      <c r="K220" s="7" t="s">
        <v>245</v>
      </c>
      <c r="L220" s="7" t="s">
        <v>1324</v>
      </c>
      <c r="M220" s="7" t="s">
        <v>244</v>
      </c>
      <c r="N220" s="7" t="n">
        <v>1</v>
      </c>
      <c r="O220" s="7" t="n">
        <v>1</v>
      </c>
      <c r="P220" s="7" t="str">
        <f aca="false">HYPERLINK("https://www.cqc.org.uk/location/1-340793978","https://www.cqc.org.uk/location/1-340793978")</f>
        <v>https://www.cqc.org.uk/location/1-340793978</v>
      </c>
      <c r="Q220" s="7"/>
      <c r="R220" s="8" t="n">
        <v>46266</v>
      </c>
      <c r="S220" s="8" t="n">
        <v>46267</v>
      </c>
      <c r="T220" s="8" t="n">
        <v>46273</v>
      </c>
      <c r="U220" s="7" t="n">
        <v>39411</v>
      </c>
    </row>
    <row r="221" customFormat="false" ht="64" hidden="false" customHeight="true" outlineLevel="0" collapsed="false">
      <c r="A221" s="9" t="s">
        <v>1325</v>
      </c>
      <c r="B221" s="9" t="s">
        <v>1326</v>
      </c>
      <c r="C221" s="9" t="s">
        <v>1327</v>
      </c>
      <c r="D221" s="9" t="s">
        <v>1328</v>
      </c>
      <c r="E221" s="9" t="s">
        <v>4</v>
      </c>
      <c r="F221" s="9" t="s">
        <v>426</v>
      </c>
      <c r="G221" s="10" t="n">
        <v>44852</v>
      </c>
      <c r="H221" s="9"/>
      <c r="I221" s="10"/>
      <c r="J221" s="9"/>
      <c r="K221" s="9" t="s">
        <v>245</v>
      </c>
      <c r="L221" s="9" t="s">
        <v>795</v>
      </c>
      <c r="M221" s="9" t="s">
        <v>244</v>
      </c>
      <c r="N221" s="9" t="n">
        <v>7</v>
      </c>
      <c r="O221" s="9" t="n">
        <v>1</v>
      </c>
      <c r="P221" s="9" t="str">
        <f aca="false">HYPERLINK("https://www.cqc.org.uk/location/1-14157686989","https://www.cqc.org.uk/location/1-14157686989")</f>
        <v>https://www.cqc.org.uk/location/1-14157686989</v>
      </c>
      <c r="Q221" s="9" t="s">
        <v>1329</v>
      </c>
      <c r="R221" s="10" t="n">
        <v>46266</v>
      </c>
      <c r="S221" s="10" t="n">
        <v>46267</v>
      </c>
      <c r="T221" s="10" t="n">
        <v>46273</v>
      </c>
      <c r="U221" s="9" t="n">
        <v>13354</v>
      </c>
    </row>
    <row r="222" customFormat="false" ht="64" hidden="false" customHeight="true" outlineLevel="0" collapsed="false">
      <c r="A222" s="7" t="s">
        <v>1330</v>
      </c>
      <c r="B222" s="7" t="s">
        <v>1331</v>
      </c>
      <c r="C222" s="7" t="s">
        <v>1331</v>
      </c>
      <c r="D222" s="7" t="s">
        <v>1332</v>
      </c>
      <c r="E222" s="7" t="s">
        <v>4</v>
      </c>
      <c r="F222" s="7" t="s">
        <v>1232</v>
      </c>
      <c r="G222" s="8" t="n">
        <v>42710</v>
      </c>
      <c r="H222" s="7" t="s">
        <v>268</v>
      </c>
      <c r="I222" s="8" t="n">
        <v>43606</v>
      </c>
      <c r="J222" s="7" t="s">
        <v>244</v>
      </c>
      <c r="K222" s="7" t="s">
        <v>245</v>
      </c>
      <c r="L222" s="7" t="s">
        <v>451</v>
      </c>
      <c r="M222" s="7" t="s">
        <v>244</v>
      </c>
      <c r="N222" s="7" t="n">
        <v>2</v>
      </c>
      <c r="O222" s="7" t="n">
        <v>1</v>
      </c>
      <c r="P222" s="7" t="str">
        <f aca="false">HYPERLINK("https://www.cqc.org.uk/location/1-3129466975","https://www.cqc.org.uk/location/1-3129466975")</f>
        <v>https://www.cqc.org.uk/location/1-3129466975</v>
      </c>
      <c r="Q222" s="7" t="s">
        <v>1333</v>
      </c>
      <c r="R222" s="8" t="n">
        <v>46266</v>
      </c>
      <c r="S222" s="8" t="n">
        <v>46267</v>
      </c>
      <c r="T222" s="8" t="n">
        <v>46273</v>
      </c>
      <c r="U222" s="7" t="n">
        <v>38764</v>
      </c>
    </row>
    <row r="223" customFormat="false" ht="64" hidden="false" customHeight="true" outlineLevel="0" collapsed="false">
      <c r="A223" s="9" t="s">
        <v>1334</v>
      </c>
      <c r="B223" s="9" t="s">
        <v>1335</v>
      </c>
      <c r="C223" s="9" t="s">
        <v>1336</v>
      </c>
      <c r="D223" s="9" t="s">
        <v>1337</v>
      </c>
      <c r="E223" s="9" t="s">
        <v>4</v>
      </c>
      <c r="F223" s="9" t="s">
        <v>633</v>
      </c>
      <c r="G223" s="10" t="n">
        <v>42401</v>
      </c>
      <c r="H223" s="9" t="s">
        <v>268</v>
      </c>
      <c r="I223" s="10" t="n">
        <v>43804</v>
      </c>
      <c r="J223" s="9" t="s">
        <v>244</v>
      </c>
      <c r="K223" s="9" t="s">
        <v>252</v>
      </c>
      <c r="L223" s="9" t="s">
        <v>379</v>
      </c>
      <c r="M223" s="9" t="s">
        <v>254</v>
      </c>
      <c r="N223" s="9" t="n">
        <v>2</v>
      </c>
      <c r="O223" s="9" t="n">
        <v>1</v>
      </c>
      <c r="P223" s="9" t="str">
        <f aca="false">HYPERLINK("https://www.cqc.org.uk/location/1-2442393619","https://www.cqc.org.uk/location/1-2442393619")</f>
        <v>https://www.cqc.org.uk/location/1-2442393619</v>
      </c>
      <c r="Q223" s="9" t="s">
        <v>1338</v>
      </c>
      <c r="R223" s="10" t="n">
        <v>46266</v>
      </c>
      <c r="S223" s="10" t="n">
        <v>46267</v>
      </c>
      <c r="T223" s="10" t="n">
        <v>46273</v>
      </c>
      <c r="U223" s="9" t="n">
        <v>32169</v>
      </c>
    </row>
    <row r="224" customFormat="false" ht="64" hidden="false" customHeight="true" outlineLevel="0" collapsed="false">
      <c r="A224" s="7" t="s">
        <v>1339</v>
      </c>
      <c r="B224" s="7" t="s">
        <v>1340</v>
      </c>
      <c r="C224" s="7" t="s">
        <v>1340</v>
      </c>
      <c r="D224" s="7" t="s">
        <v>1341</v>
      </c>
      <c r="E224" s="7" t="s">
        <v>4</v>
      </c>
      <c r="F224" s="7" t="s">
        <v>1342</v>
      </c>
      <c r="G224" s="8" t="n">
        <v>45366</v>
      </c>
      <c r="H224" s="7"/>
      <c r="I224" s="8"/>
      <c r="J224" s="7"/>
      <c r="K224" s="7" t="s">
        <v>245</v>
      </c>
      <c r="L224" s="7" t="s">
        <v>269</v>
      </c>
      <c r="M224" s="7" t="s">
        <v>244</v>
      </c>
      <c r="N224" s="7" t="n">
        <v>1</v>
      </c>
      <c r="O224" s="7" t="n">
        <v>1</v>
      </c>
      <c r="P224" s="7" t="str">
        <f aca="false">HYPERLINK("https://www.cqc.org.uk/location/1-18392548723","https://www.cqc.org.uk/location/1-18392548723")</f>
        <v>https://www.cqc.org.uk/location/1-18392548723</v>
      </c>
      <c r="Q224" s="7" t="s">
        <v>1343</v>
      </c>
      <c r="R224" s="8" t="n">
        <v>46266</v>
      </c>
      <c r="S224" s="8" t="n">
        <v>46267</v>
      </c>
      <c r="T224" s="8" t="n">
        <v>46273</v>
      </c>
      <c r="U224" s="7" t="n">
        <v>19956</v>
      </c>
    </row>
    <row r="225" customFormat="false" ht="64" hidden="false" customHeight="true" outlineLevel="0" collapsed="false">
      <c r="A225" s="9" t="s">
        <v>1344</v>
      </c>
      <c r="B225" s="9" t="s">
        <v>1345</v>
      </c>
      <c r="C225" s="9" t="s">
        <v>1345</v>
      </c>
      <c r="D225" s="9" t="s">
        <v>1346</v>
      </c>
      <c r="E225" s="9" t="s">
        <v>4</v>
      </c>
      <c r="F225" s="9" t="s">
        <v>1347</v>
      </c>
      <c r="G225" s="10" t="n">
        <v>40577</v>
      </c>
      <c r="H225" s="9" t="s">
        <v>243</v>
      </c>
      <c r="I225" s="10" t="n">
        <v>43852</v>
      </c>
      <c r="J225" s="9" t="s">
        <v>244</v>
      </c>
      <c r="K225" s="9" t="s">
        <v>245</v>
      </c>
      <c r="L225" s="9" t="s">
        <v>386</v>
      </c>
      <c r="M225" s="9" t="s">
        <v>244</v>
      </c>
      <c r="N225" s="9" t="n">
        <v>1</v>
      </c>
      <c r="O225" s="9" t="n">
        <v>1</v>
      </c>
      <c r="P225" s="9" t="str">
        <f aca="false">HYPERLINK("https://www.cqc.org.uk/location/1-113482884","https://www.cqc.org.uk/location/1-113482884")</f>
        <v>https://www.cqc.org.uk/location/1-113482884</v>
      </c>
      <c r="Q225" s="9" t="s">
        <v>1348</v>
      </c>
      <c r="R225" s="10" t="n">
        <v>46266</v>
      </c>
      <c r="S225" s="10" t="n">
        <v>46267</v>
      </c>
      <c r="T225" s="10" t="n">
        <v>46273</v>
      </c>
      <c r="U225" s="9" t="n">
        <v>3022</v>
      </c>
    </row>
    <row r="226" customFormat="false" ht="64" hidden="false" customHeight="true" outlineLevel="0" collapsed="false">
      <c r="A226" s="7" t="s">
        <v>1349</v>
      </c>
      <c r="B226" s="7" t="s">
        <v>1350</v>
      </c>
      <c r="C226" s="7" t="s">
        <v>1351</v>
      </c>
      <c r="D226" s="7" t="s">
        <v>1352</v>
      </c>
      <c r="E226" s="7" t="s">
        <v>4</v>
      </c>
      <c r="F226" s="7" t="s">
        <v>1353</v>
      </c>
      <c r="G226" s="8" t="n">
        <v>44215</v>
      </c>
      <c r="H226" s="7" t="s">
        <v>268</v>
      </c>
      <c r="I226" s="8" t="n">
        <v>43593</v>
      </c>
      <c r="J226" s="7" t="s">
        <v>254</v>
      </c>
      <c r="K226" s="7" t="s">
        <v>245</v>
      </c>
      <c r="L226" s="7" t="s">
        <v>379</v>
      </c>
      <c r="M226" s="7" t="s">
        <v>244</v>
      </c>
      <c r="N226" s="7" t="n">
        <v>3</v>
      </c>
      <c r="O226" s="7" t="n">
        <v>1</v>
      </c>
      <c r="P226" s="7" t="str">
        <f aca="false">HYPERLINK("https://www.cqc.org.uk/location/1-10217283308","https://www.cqc.org.uk/location/1-10217283308")</f>
        <v>https://www.cqc.org.uk/location/1-10217283308</v>
      </c>
      <c r="Q226" s="7" t="s">
        <v>387</v>
      </c>
      <c r="R226" s="8" t="n">
        <v>46266</v>
      </c>
      <c r="S226" s="8" t="n">
        <v>46267</v>
      </c>
      <c r="T226" s="8" t="n">
        <v>46273</v>
      </c>
      <c r="U226" s="7" t="n">
        <v>298</v>
      </c>
    </row>
    <row r="227" customFormat="false" ht="64" hidden="false" customHeight="true" outlineLevel="0" collapsed="false">
      <c r="A227" s="9" t="s">
        <v>1354</v>
      </c>
      <c r="B227" s="9" t="s">
        <v>1355</v>
      </c>
      <c r="C227" s="9" t="s">
        <v>1356</v>
      </c>
      <c r="D227" s="9" t="s">
        <v>1357</v>
      </c>
      <c r="E227" s="9" t="s">
        <v>4</v>
      </c>
      <c r="F227" s="9" t="s">
        <v>1358</v>
      </c>
      <c r="G227" s="10" t="n">
        <v>44827</v>
      </c>
      <c r="H227" s="9" t="s">
        <v>1359</v>
      </c>
      <c r="I227" s="10" t="n">
        <v>46099</v>
      </c>
      <c r="J227" s="9" t="s">
        <v>244</v>
      </c>
      <c r="K227" s="9" t="s">
        <v>245</v>
      </c>
      <c r="L227" s="9" t="s">
        <v>280</v>
      </c>
      <c r="M227" s="9" t="s">
        <v>244</v>
      </c>
      <c r="N227" s="9" t="n">
        <v>1</v>
      </c>
      <c r="O227" s="9" t="n">
        <v>1</v>
      </c>
      <c r="P227" s="9" t="str">
        <f aca="false">HYPERLINK("https://www.cqc.org.uk/location/1-13586930697","https://www.cqc.org.uk/location/1-13586930697")</f>
        <v>https://www.cqc.org.uk/location/1-13586930697</v>
      </c>
      <c r="Q227" s="9" t="s">
        <v>1360</v>
      </c>
      <c r="R227" s="10" t="n">
        <v>46266</v>
      </c>
      <c r="S227" s="10" t="n">
        <v>46267</v>
      </c>
      <c r="T227" s="10" t="n">
        <v>46273</v>
      </c>
      <c r="U227" s="9" t="n">
        <v>11900</v>
      </c>
    </row>
    <row r="228" customFormat="false" ht="64" hidden="false" customHeight="true" outlineLevel="0" collapsed="false">
      <c r="A228" s="7" t="s">
        <v>1361</v>
      </c>
      <c r="B228" s="7" t="s">
        <v>1362</v>
      </c>
      <c r="C228" s="7" t="s">
        <v>1362</v>
      </c>
      <c r="D228" s="7" t="s">
        <v>1363</v>
      </c>
      <c r="E228" s="7" t="s">
        <v>4</v>
      </c>
      <c r="F228" s="7" t="s">
        <v>1364</v>
      </c>
      <c r="G228" s="8" t="n">
        <v>43609</v>
      </c>
      <c r="H228" s="7" t="s">
        <v>268</v>
      </c>
      <c r="I228" s="8" t="n">
        <v>44681</v>
      </c>
      <c r="J228" s="7" t="s">
        <v>244</v>
      </c>
      <c r="K228" s="7" t="s">
        <v>252</v>
      </c>
      <c r="L228" s="7" t="s">
        <v>261</v>
      </c>
      <c r="M228" s="7" t="s">
        <v>254</v>
      </c>
      <c r="N228" s="7" t="n">
        <v>1</v>
      </c>
      <c r="O228" s="7" t="n">
        <v>1</v>
      </c>
      <c r="P228" s="7" t="str">
        <f aca="false">HYPERLINK("https://www.cqc.org.uk/location/1-6923684250","https://www.cqc.org.uk/location/1-6923684250")</f>
        <v>https://www.cqc.org.uk/location/1-6923684250</v>
      </c>
      <c r="Q228" s="7" t="s">
        <v>1365</v>
      </c>
      <c r="R228" s="8" t="n">
        <v>46266</v>
      </c>
      <c r="S228" s="8" t="n">
        <v>46267</v>
      </c>
      <c r="T228" s="8" t="n">
        <v>46273</v>
      </c>
      <c r="U228" s="7" t="n">
        <v>50835</v>
      </c>
    </row>
    <row r="229" customFormat="false" ht="64" hidden="false" customHeight="true" outlineLevel="0" collapsed="false">
      <c r="A229" s="9" t="s">
        <v>1366</v>
      </c>
      <c r="B229" s="9" t="s">
        <v>1367</v>
      </c>
      <c r="C229" s="9" t="s">
        <v>1368</v>
      </c>
      <c r="D229" s="9" t="s">
        <v>1369</v>
      </c>
      <c r="E229" s="9" t="s">
        <v>4</v>
      </c>
      <c r="F229" s="9" t="s">
        <v>1370</v>
      </c>
      <c r="G229" s="10" t="n">
        <v>45546</v>
      </c>
      <c r="H229" s="9"/>
      <c r="I229" s="10"/>
      <c r="J229" s="9"/>
      <c r="K229" s="9" t="s">
        <v>245</v>
      </c>
      <c r="L229" s="9" t="s">
        <v>269</v>
      </c>
      <c r="M229" s="9" t="s">
        <v>244</v>
      </c>
      <c r="N229" s="9" t="n">
        <v>2</v>
      </c>
      <c r="O229" s="9" t="n">
        <v>1</v>
      </c>
      <c r="P229" s="9" t="str">
        <f aca="false">HYPERLINK("https://www.cqc.org.uk/location/1-19881569785","https://www.cqc.org.uk/location/1-19881569785")</f>
        <v>https://www.cqc.org.uk/location/1-19881569785</v>
      </c>
      <c r="Q229" s="9" t="s">
        <v>1371</v>
      </c>
      <c r="R229" s="10" t="n">
        <v>46266</v>
      </c>
      <c r="S229" s="10" t="n">
        <v>46267</v>
      </c>
      <c r="T229" s="10" t="n">
        <v>46273</v>
      </c>
      <c r="U229" s="9" t="n">
        <v>23962</v>
      </c>
    </row>
    <row r="230" customFormat="false" ht="64" hidden="false" customHeight="true" outlineLevel="0" collapsed="false">
      <c r="A230" s="7" t="s">
        <v>1372</v>
      </c>
      <c r="B230" s="7" t="s">
        <v>1373</v>
      </c>
      <c r="C230" s="7" t="s">
        <v>1374</v>
      </c>
      <c r="D230" s="7" t="s">
        <v>1375</v>
      </c>
      <c r="E230" s="7" t="s">
        <v>4</v>
      </c>
      <c r="F230" s="7" t="s">
        <v>633</v>
      </c>
      <c r="G230" s="8" t="n">
        <v>43306</v>
      </c>
      <c r="H230" s="7" t="s">
        <v>268</v>
      </c>
      <c r="I230" s="8" t="n">
        <v>43707</v>
      </c>
      <c r="J230" s="7" t="s">
        <v>244</v>
      </c>
      <c r="K230" s="7" t="s">
        <v>252</v>
      </c>
      <c r="L230" s="7" t="s">
        <v>471</v>
      </c>
      <c r="M230" s="7" t="s">
        <v>254</v>
      </c>
      <c r="N230" s="7" t="n">
        <v>1</v>
      </c>
      <c r="O230" s="7" t="n">
        <v>1</v>
      </c>
      <c r="P230" s="7" t="str">
        <f aca="false">HYPERLINK("https://www.cqc.org.uk/location/1-5518575057","https://www.cqc.org.uk/location/1-5518575057")</f>
        <v>https://www.cqc.org.uk/location/1-5518575057</v>
      </c>
      <c r="Q230" s="7" t="s">
        <v>1376</v>
      </c>
      <c r="R230" s="8" t="n">
        <v>46266</v>
      </c>
      <c r="S230" s="8" t="n">
        <v>46267</v>
      </c>
      <c r="T230" s="8" t="n">
        <v>46273</v>
      </c>
      <c r="U230" s="7" t="n">
        <v>46390</v>
      </c>
    </row>
    <row r="231" customFormat="false" ht="64" hidden="false" customHeight="true" outlineLevel="0" collapsed="false">
      <c r="A231" s="9" t="s">
        <v>1377</v>
      </c>
      <c r="B231" s="9" t="s">
        <v>1378</v>
      </c>
      <c r="C231" s="9" t="s">
        <v>1378</v>
      </c>
      <c r="D231" s="9" t="s">
        <v>1379</v>
      </c>
      <c r="E231" s="9" t="s">
        <v>4</v>
      </c>
      <c r="F231" s="9" t="s">
        <v>1080</v>
      </c>
      <c r="G231" s="10" t="n">
        <v>45561</v>
      </c>
      <c r="H231" s="9"/>
      <c r="I231" s="10"/>
      <c r="J231" s="9"/>
      <c r="K231" s="9" t="s">
        <v>245</v>
      </c>
      <c r="L231" s="9" t="s">
        <v>289</v>
      </c>
      <c r="M231" s="9" t="s">
        <v>244</v>
      </c>
      <c r="N231" s="9" t="n">
        <v>1</v>
      </c>
      <c r="O231" s="9" t="n">
        <v>1</v>
      </c>
      <c r="P231" s="9" t="str">
        <f aca="false">HYPERLINK("https://www.cqc.org.uk/location/1-19897193748","https://www.cqc.org.uk/location/1-19897193748")</f>
        <v>https://www.cqc.org.uk/location/1-19897193748</v>
      </c>
      <c r="Q231" s="9"/>
      <c r="R231" s="10" t="n">
        <v>46266</v>
      </c>
      <c r="S231" s="10" t="n">
        <v>46267</v>
      </c>
      <c r="T231" s="10" t="n">
        <v>46273</v>
      </c>
      <c r="U231" s="9" t="n">
        <v>24620</v>
      </c>
    </row>
    <row r="232" customFormat="false" ht="64" hidden="false" customHeight="true" outlineLevel="0" collapsed="false">
      <c r="A232" s="7" t="s">
        <v>1380</v>
      </c>
      <c r="B232" s="7" t="s">
        <v>1381</v>
      </c>
      <c r="C232" s="7" t="s">
        <v>1381</v>
      </c>
      <c r="D232" s="7" t="s">
        <v>1382</v>
      </c>
      <c r="E232" s="7" t="s">
        <v>4</v>
      </c>
      <c r="F232" s="7" t="s">
        <v>1383</v>
      </c>
      <c r="G232" s="8" t="n">
        <v>44460</v>
      </c>
      <c r="H232" s="7" t="s">
        <v>268</v>
      </c>
      <c r="I232" s="8" t="n">
        <v>45296</v>
      </c>
      <c r="J232" s="7" t="s">
        <v>244</v>
      </c>
      <c r="K232" s="7" t="s">
        <v>245</v>
      </c>
      <c r="L232" s="7" t="s">
        <v>280</v>
      </c>
      <c r="M232" s="7" t="s">
        <v>244</v>
      </c>
      <c r="N232" s="7" t="n">
        <v>1</v>
      </c>
      <c r="O232" s="7" t="n">
        <v>1</v>
      </c>
      <c r="P232" s="7" t="str">
        <f aca="false">HYPERLINK("https://www.cqc.org.uk/location/1-11680091646","https://www.cqc.org.uk/location/1-11680091646")</f>
        <v>https://www.cqc.org.uk/location/1-11680091646</v>
      </c>
      <c r="Q232" s="7" t="s">
        <v>1384</v>
      </c>
      <c r="R232" s="8" t="n">
        <v>46266</v>
      </c>
      <c r="S232" s="8" t="n">
        <v>46267</v>
      </c>
      <c r="T232" s="8" t="n">
        <v>46273</v>
      </c>
      <c r="U232" s="7" t="n">
        <v>4140</v>
      </c>
    </row>
    <row r="233" customFormat="false" ht="64" hidden="false" customHeight="true" outlineLevel="0" collapsed="false">
      <c r="A233" s="9" t="s">
        <v>1385</v>
      </c>
      <c r="B233" s="9" t="s">
        <v>1386</v>
      </c>
      <c r="C233" s="9" t="s">
        <v>1386</v>
      </c>
      <c r="D233" s="9" t="s">
        <v>1387</v>
      </c>
      <c r="E233" s="9" t="s">
        <v>4</v>
      </c>
      <c r="F233" s="9" t="s">
        <v>403</v>
      </c>
      <c r="G233" s="10" t="n">
        <v>45202</v>
      </c>
      <c r="H233" s="9"/>
      <c r="I233" s="10"/>
      <c r="J233" s="9"/>
      <c r="K233" s="9" t="s">
        <v>245</v>
      </c>
      <c r="L233" s="9" t="s">
        <v>280</v>
      </c>
      <c r="M233" s="9" t="s">
        <v>244</v>
      </c>
      <c r="N233" s="9" t="n">
        <v>1</v>
      </c>
      <c r="O233" s="9" t="n">
        <v>1</v>
      </c>
      <c r="P233" s="9" t="str">
        <f aca="false">HYPERLINK("https://www.cqc.org.uk/location/1-16969722386","https://www.cqc.org.uk/location/1-16969722386")</f>
        <v>https://www.cqc.org.uk/location/1-16969722386</v>
      </c>
      <c r="Q233" s="9"/>
      <c r="R233" s="10" t="n">
        <v>46266</v>
      </c>
      <c r="S233" s="10" t="n">
        <v>46267</v>
      </c>
      <c r="T233" s="10" t="n">
        <v>46273</v>
      </c>
      <c r="U233" s="9" t="n">
        <v>17875</v>
      </c>
    </row>
    <row r="234" customFormat="false" ht="64" hidden="false" customHeight="true" outlineLevel="0" collapsed="false">
      <c r="A234" s="7" t="s">
        <v>1388</v>
      </c>
      <c r="B234" s="7" t="s">
        <v>1389</v>
      </c>
      <c r="C234" s="7" t="s">
        <v>1389</v>
      </c>
      <c r="D234" s="7" t="s">
        <v>1390</v>
      </c>
      <c r="E234" s="7" t="s">
        <v>4</v>
      </c>
      <c r="F234" s="7" t="s">
        <v>1391</v>
      </c>
      <c r="G234" s="8" t="n">
        <v>44552</v>
      </c>
      <c r="H234" s="7"/>
      <c r="I234" s="8"/>
      <c r="J234" s="7"/>
      <c r="K234" s="7" t="s">
        <v>252</v>
      </c>
      <c r="L234" s="7" t="s">
        <v>1221</v>
      </c>
      <c r="M234" s="7" t="s">
        <v>254</v>
      </c>
      <c r="N234" s="7" t="n">
        <v>1</v>
      </c>
      <c r="O234" s="7" t="n">
        <v>1</v>
      </c>
      <c r="P234" s="7" t="str">
        <f aca="false">HYPERLINK("https://www.cqc.org.uk/location/1-12149553949","https://www.cqc.org.uk/location/1-12149553949")</f>
        <v>https://www.cqc.org.uk/location/1-12149553949</v>
      </c>
      <c r="Q234" s="7" t="s">
        <v>1392</v>
      </c>
      <c r="R234" s="8" t="n">
        <v>46266</v>
      </c>
      <c r="S234" s="8" t="n">
        <v>46267</v>
      </c>
      <c r="T234" s="8" t="n">
        <v>46273</v>
      </c>
      <c r="U234" s="7" t="n">
        <v>6367</v>
      </c>
    </row>
    <row r="235" customFormat="false" ht="64" hidden="false" customHeight="true" outlineLevel="0" collapsed="false">
      <c r="A235" s="9" t="s">
        <v>1393</v>
      </c>
      <c r="B235" s="9" t="s">
        <v>1394</v>
      </c>
      <c r="C235" s="9" t="s">
        <v>1394</v>
      </c>
      <c r="D235" s="9" t="s">
        <v>1395</v>
      </c>
      <c r="E235" s="9" t="s">
        <v>4</v>
      </c>
      <c r="F235" s="9" t="s">
        <v>1396</v>
      </c>
      <c r="G235" s="10" t="n">
        <v>40696</v>
      </c>
      <c r="H235" s="9" t="s">
        <v>243</v>
      </c>
      <c r="I235" s="10" t="n">
        <v>43901</v>
      </c>
      <c r="J235" s="9" t="s">
        <v>244</v>
      </c>
      <c r="K235" s="9" t="s">
        <v>245</v>
      </c>
      <c r="L235" s="9" t="s">
        <v>427</v>
      </c>
      <c r="M235" s="9" t="s">
        <v>244</v>
      </c>
      <c r="N235" s="9" t="n">
        <v>1</v>
      </c>
      <c r="O235" s="9" t="n">
        <v>1</v>
      </c>
      <c r="P235" s="9" t="str">
        <f aca="false">HYPERLINK("https://www.cqc.org.uk/location/1-252229578","https://www.cqc.org.uk/location/1-252229578")</f>
        <v>https://www.cqc.org.uk/location/1-252229578</v>
      </c>
      <c r="Q235" s="9"/>
      <c r="R235" s="10" t="n">
        <v>46266</v>
      </c>
      <c r="S235" s="10" t="n">
        <v>46267</v>
      </c>
      <c r="T235" s="10" t="n">
        <v>46273</v>
      </c>
      <c r="U235" s="9" t="n">
        <v>33225</v>
      </c>
    </row>
    <row r="236" customFormat="false" ht="64" hidden="false" customHeight="true" outlineLevel="0" collapsed="false">
      <c r="A236" s="7" t="s">
        <v>1397</v>
      </c>
      <c r="B236" s="7" t="s">
        <v>1398</v>
      </c>
      <c r="C236" s="7" t="s">
        <v>1399</v>
      </c>
      <c r="D236" s="7" t="s">
        <v>1400</v>
      </c>
      <c r="E236" s="7" t="s">
        <v>4</v>
      </c>
      <c r="F236" s="7" t="s">
        <v>1401</v>
      </c>
      <c r="G236" s="8" t="n">
        <v>42564</v>
      </c>
      <c r="H236" s="7" t="s">
        <v>268</v>
      </c>
      <c r="I236" s="8" t="n">
        <v>44665</v>
      </c>
      <c r="J236" s="7" t="s">
        <v>244</v>
      </c>
      <c r="K236" s="7" t="s">
        <v>252</v>
      </c>
      <c r="L236" s="7" t="s">
        <v>471</v>
      </c>
      <c r="M236" s="7" t="s">
        <v>254</v>
      </c>
      <c r="N236" s="7" t="n">
        <v>1</v>
      </c>
      <c r="O236" s="7" t="n">
        <v>1</v>
      </c>
      <c r="P236" s="7" t="str">
        <f aca="false">HYPERLINK("https://www.cqc.org.uk/location/1-2630308495","https://www.cqc.org.uk/location/1-2630308495")</f>
        <v>https://www.cqc.org.uk/location/1-2630308495</v>
      </c>
      <c r="Q236" s="7"/>
      <c r="R236" s="8" t="n">
        <v>46266</v>
      </c>
      <c r="S236" s="8" t="n">
        <v>46267</v>
      </c>
      <c r="T236" s="8" t="n">
        <v>46273</v>
      </c>
      <c r="U236" s="7" t="n">
        <v>34553</v>
      </c>
    </row>
    <row r="237" customFormat="false" ht="64" hidden="false" customHeight="true" outlineLevel="0" collapsed="false">
      <c r="A237" s="9" t="s">
        <v>1402</v>
      </c>
      <c r="B237" s="9" t="s">
        <v>1403</v>
      </c>
      <c r="C237" s="9" t="s">
        <v>1403</v>
      </c>
      <c r="D237" s="9" t="s">
        <v>1404</v>
      </c>
      <c r="E237" s="9" t="s">
        <v>4</v>
      </c>
      <c r="F237" s="9" t="s">
        <v>577</v>
      </c>
      <c r="G237" s="10" t="n">
        <v>43697</v>
      </c>
      <c r="H237" s="9" t="s">
        <v>243</v>
      </c>
      <c r="I237" s="10" t="n">
        <v>44359</v>
      </c>
      <c r="J237" s="9" t="s">
        <v>244</v>
      </c>
      <c r="K237" s="9" t="s">
        <v>252</v>
      </c>
      <c r="L237" s="9" t="s">
        <v>1011</v>
      </c>
      <c r="M237" s="9" t="s">
        <v>254</v>
      </c>
      <c r="N237" s="9" t="n">
        <v>1</v>
      </c>
      <c r="O237" s="9" t="n">
        <v>1</v>
      </c>
      <c r="P237" s="9" t="str">
        <f aca="false">HYPERLINK("https://www.cqc.org.uk/location/1-7374590713","https://www.cqc.org.uk/location/1-7374590713")</f>
        <v>https://www.cqc.org.uk/location/1-7374590713</v>
      </c>
      <c r="Q237" s="9" t="s">
        <v>1405</v>
      </c>
      <c r="R237" s="10" t="n">
        <v>46266</v>
      </c>
      <c r="S237" s="10" t="n">
        <v>46267</v>
      </c>
      <c r="T237" s="10" t="n">
        <v>46273</v>
      </c>
      <c r="U237" s="9" t="n">
        <v>51528</v>
      </c>
    </row>
    <row r="238" customFormat="false" ht="64" hidden="false" customHeight="true" outlineLevel="0" collapsed="false">
      <c r="A238" s="7" t="s">
        <v>1406</v>
      </c>
      <c r="B238" s="7" t="s">
        <v>1407</v>
      </c>
      <c r="C238" s="7" t="s">
        <v>1407</v>
      </c>
      <c r="D238" s="7" t="s">
        <v>1408</v>
      </c>
      <c r="E238" s="7" t="s">
        <v>4</v>
      </c>
      <c r="F238" s="7" t="s">
        <v>572</v>
      </c>
      <c r="G238" s="8" t="n">
        <v>44829</v>
      </c>
      <c r="H238" s="7"/>
      <c r="I238" s="8"/>
      <c r="J238" s="7"/>
      <c r="K238" s="7" t="s">
        <v>245</v>
      </c>
      <c r="L238" s="7" t="s">
        <v>848</v>
      </c>
      <c r="M238" s="7" t="s">
        <v>244</v>
      </c>
      <c r="N238" s="7" t="n">
        <v>1</v>
      </c>
      <c r="O238" s="7" t="n">
        <v>1</v>
      </c>
      <c r="P238" s="7" t="str">
        <f aca="false">HYPERLINK("https://www.cqc.org.uk/location/1-13939954343","https://www.cqc.org.uk/location/1-13939954343")</f>
        <v>https://www.cqc.org.uk/location/1-13939954343</v>
      </c>
      <c r="Q238" s="7"/>
      <c r="R238" s="8" t="n">
        <v>46266</v>
      </c>
      <c r="S238" s="8" t="n">
        <v>46267</v>
      </c>
      <c r="T238" s="8" t="n">
        <v>46273</v>
      </c>
      <c r="U238" s="7" t="n">
        <v>12923</v>
      </c>
    </row>
    <row r="239" customFormat="false" ht="64" hidden="false" customHeight="true" outlineLevel="0" collapsed="false">
      <c r="A239" s="9" t="s">
        <v>1409</v>
      </c>
      <c r="B239" s="9" t="s">
        <v>1410</v>
      </c>
      <c r="C239" s="9" t="s">
        <v>1410</v>
      </c>
      <c r="D239" s="9" t="s">
        <v>1411</v>
      </c>
      <c r="E239" s="9" t="s">
        <v>4</v>
      </c>
      <c r="F239" s="9" t="s">
        <v>1412</v>
      </c>
      <c r="G239" s="10" t="n">
        <v>44913</v>
      </c>
      <c r="H239" s="9" t="s">
        <v>260</v>
      </c>
      <c r="I239" s="10"/>
      <c r="J239" s="9" t="s">
        <v>244</v>
      </c>
      <c r="K239" s="9" t="s">
        <v>252</v>
      </c>
      <c r="L239" s="9" t="s">
        <v>289</v>
      </c>
      <c r="M239" s="9" t="s">
        <v>254</v>
      </c>
      <c r="N239" s="9" t="n">
        <v>2</v>
      </c>
      <c r="O239" s="9" t="n">
        <v>1</v>
      </c>
      <c r="P239" s="9" t="str">
        <f aca="false">HYPERLINK("https://www.cqc.org.uk/location/1-14595644762","https://www.cqc.org.uk/location/1-14595644762")</f>
        <v>https://www.cqc.org.uk/location/1-14595644762</v>
      </c>
      <c r="Q239" s="9"/>
      <c r="R239" s="10" t="n">
        <v>46266</v>
      </c>
      <c r="S239" s="10" t="n">
        <v>46267</v>
      </c>
      <c r="T239" s="10" t="n">
        <v>46273</v>
      </c>
      <c r="U239" s="9" t="n">
        <v>14408</v>
      </c>
    </row>
    <row r="240" customFormat="false" ht="64" hidden="false" customHeight="true" outlineLevel="0" collapsed="false">
      <c r="A240" s="7" t="s">
        <v>1413</v>
      </c>
      <c r="B240" s="7" t="s">
        <v>1414</v>
      </c>
      <c r="C240" s="7" t="s">
        <v>1414</v>
      </c>
      <c r="D240" s="7" t="s">
        <v>1415</v>
      </c>
      <c r="E240" s="7" t="s">
        <v>4</v>
      </c>
      <c r="F240" s="7" t="s">
        <v>1416</v>
      </c>
      <c r="G240" s="8" t="n">
        <v>43117</v>
      </c>
      <c r="H240" s="7" t="s">
        <v>243</v>
      </c>
      <c r="I240" s="8" t="n">
        <v>44225</v>
      </c>
      <c r="J240" s="7" t="s">
        <v>244</v>
      </c>
      <c r="K240" s="7" t="s">
        <v>245</v>
      </c>
      <c r="L240" s="7" t="s">
        <v>1417</v>
      </c>
      <c r="M240" s="7" t="s">
        <v>244</v>
      </c>
      <c r="N240" s="7" t="n">
        <v>1</v>
      </c>
      <c r="O240" s="7" t="n">
        <v>1</v>
      </c>
      <c r="P240" s="7" t="str">
        <f aca="false">HYPERLINK("https://www.cqc.org.uk/location/1-4591424497","https://www.cqc.org.uk/location/1-4591424497")</f>
        <v>https://www.cqc.org.uk/location/1-4591424497</v>
      </c>
      <c r="Q240" s="7" t="s">
        <v>1418</v>
      </c>
      <c r="R240" s="8" t="n">
        <v>46266</v>
      </c>
      <c r="S240" s="8" t="n">
        <v>46267</v>
      </c>
      <c r="T240" s="8" t="n">
        <v>46273</v>
      </c>
      <c r="U240" s="7" t="n">
        <v>42379</v>
      </c>
    </row>
    <row r="241" customFormat="false" ht="64" hidden="false" customHeight="true" outlineLevel="0" collapsed="false">
      <c r="A241" s="9" t="s">
        <v>1419</v>
      </c>
      <c r="B241" s="9" t="s">
        <v>1420</v>
      </c>
      <c r="C241" s="9" t="s">
        <v>1421</v>
      </c>
      <c r="D241" s="9" t="s">
        <v>1422</v>
      </c>
      <c r="E241" s="9" t="s">
        <v>4</v>
      </c>
      <c r="F241" s="9" t="s">
        <v>715</v>
      </c>
      <c r="G241" s="10" t="n">
        <v>43375</v>
      </c>
      <c r="H241" s="9" t="s">
        <v>268</v>
      </c>
      <c r="I241" s="10" t="n">
        <v>43784</v>
      </c>
      <c r="J241" s="9" t="s">
        <v>244</v>
      </c>
      <c r="K241" s="9" t="s">
        <v>1181</v>
      </c>
      <c r="L241" s="9" t="s">
        <v>379</v>
      </c>
      <c r="M241" s="9" t="s">
        <v>254</v>
      </c>
      <c r="N241" s="9" t="n">
        <v>1</v>
      </c>
      <c r="O241" s="9" t="n">
        <v>1</v>
      </c>
      <c r="P241" s="9" t="str">
        <f aca="false">HYPERLINK("https://www.cqc.org.uk/location/1-5832715423","https://www.cqc.org.uk/location/1-5832715423")</f>
        <v>https://www.cqc.org.uk/location/1-5832715423</v>
      </c>
      <c r="Q241" s="9"/>
      <c r="R241" s="10" t="n">
        <v>46266</v>
      </c>
      <c r="S241" s="10" t="n">
        <v>46267</v>
      </c>
      <c r="T241" s="10" t="n">
        <v>46273</v>
      </c>
      <c r="U241" s="9" t="n">
        <v>48578</v>
      </c>
    </row>
    <row r="242" customFormat="false" ht="64" hidden="false" customHeight="true" outlineLevel="0" collapsed="false">
      <c r="A242" s="7" t="s">
        <v>1423</v>
      </c>
      <c r="B242" s="7" t="s">
        <v>1424</v>
      </c>
      <c r="C242" s="7" t="s">
        <v>1424</v>
      </c>
      <c r="D242" s="7" t="s">
        <v>1425</v>
      </c>
      <c r="E242" s="7" t="s">
        <v>4</v>
      </c>
      <c r="F242" s="7" t="s">
        <v>1426</v>
      </c>
      <c r="G242" s="8" t="n">
        <v>45104</v>
      </c>
      <c r="H242" s="7"/>
      <c r="I242" s="8"/>
      <c r="J242" s="7"/>
      <c r="K242" s="7" t="s">
        <v>252</v>
      </c>
      <c r="L242" s="7" t="s">
        <v>338</v>
      </c>
      <c r="M242" s="7" t="s">
        <v>254</v>
      </c>
      <c r="N242" s="7" t="n">
        <v>1</v>
      </c>
      <c r="O242" s="7" t="n">
        <v>1</v>
      </c>
      <c r="P242" s="7" t="str">
        <f aca="false">HYPERLINK("https://www.cqc.org.uk/location/1-16385677861","https://www.cqc.org.uk/location/1-16385677861")</f>
        <v>https://www.cqc.org.uk/location/1-16385677861</v>
      </c>
      <c r="Q242" s="7"/>
      <c r="R242" s="8" t="n">
        <v>46266</v>
      </c>
      <c r="S242" s="8" t="n">
        <v>46267</v>
      </c>
      <c r="T242" s="8" t="n">
        <v>46273</v>
      </c>
      <c r="U242" s="7" t="n">
        <v>17260</v>
      </c>
    </row>
    <row r="243" customFormat="false" ht="64" hidden="false" customHeight="true" outlineLevel="0" collapsed="false">
      <c r="A243" s="9" t="s">
        <v>1427</v>
      </c>
      <c r="B243" s="9" t="s">
        <v>1428</v>
      </c>
      <c r="C243" s="9" t="s">
        <v>1429</v>
      </c>
      <c r="D243" s="9" t="s">
        <v>1430</v>
      </c>
      <c r="E243" s="9" t="s">
        <v>4</v>
      </c>
      <c r="F243" s="9" t="s">
        <v>1431</v>
      </c>
      <c r="G243" s="10" t="n">
        <v>40879</v>
      </c>
      <c r="H243" s="9" t="s">
        <v>268</v>
      </c>
      <c r="I243" s="10" t="n">
        <v>43823</v>
      </c>
      <c r="J243" s="9" t="s">
        <v>244</v>
      </c>
      <c r="K243" s="9" t="s">
        <v>245</v>
      </c>
      <c r="L243" s="9" t="s">
        <v>509</v>
      </c>
      <c r="M243" s="9" t="s">
        <v>244</v>
      </c>
      <c r="N243" s="9" t="n">
        <v>1</v>
      </c>
      <c r="O243" s="9" t="n">
        <v>1</v>
      </c>
      <c r="P243" s="9" t="str">
        <f aca="false">HYPERLINK("https://www.cqc.org.uk/location/1-343721438","https://www.cqc.org.uk/location/1-343721438")</f>
        <v>https://www.cqc.org.uk/location/1-343721438</v>
      </c>
      <c r="Q243" s="9"/>
      <c r="R243" s="10" t="n">
        <v>46266</v>
      </c>
      <c r="S243" s="10" t="n">
        <v>46267</v>
      </c>
      <c r="T243" s="10" t="n">
        <v>46273</v>
      </c>
      <c r="U243" s="9" t="n">
        <v>39432</v>
      </c>
    </row>
    <row r="244" customFormat="false" ht="64" hidden="false" customHeight="true" outlineLevel="0" collapsed="false">
      <c r="A244" s="7" t="s">
        <v>1432</v>
      </c>
      <c r="B244" s="7" t="s">
        <v>1433</v>
      </c>
      <c r="C244" s="7" t="s">
        <v>1434</v>
      </c>
      <c r="D244" s="7" t="s">
        <v>1435</v>
      </c>
      <c r="E244" s="7" t="s">
        <v>4</v>
      </c>
      <c r="F244" s="7" t="s">
        <v>279</v>
      </c>
      <c r="G244" s="8" t="n">
        <v>42053</v>
      </c>
      <c r="H244" s="7" t="s">
        <v>268</v>
      </c>
      <c r="I244" s="8" t="n">
        <v>43559</v>
      </c>
      <c r="J244" s="7" t="s">
        <v>244</v>
      </c>
      <c r="K244" s="7" t="s">
        <v>252</v>
      </c>
      <c r="L244" s="7" t="s">
        <v>1092</v>
      </c>
      <c r="M244" s="7" t="s">
        <v>254</v>
      </c>
      <c r="N244" s="7" t="n">
        <v>1</v>
      </c>
      <c r="O244" s="7" t="n">
        <v>1</v>
      </c>
      <c r="P244" s="7" t="str">
        <f aca="false">HYPERLINK("https://www.cqc.org.uk/location/1-1949699207","https://www.cqc.org.uk/location/1-1949699207")</f>
        <v>https://www.cqc.org.uk/location/1-1949699207</v>
      </c>
      <c r="Q244" s="7" t="s">
        <v>1436</v>
      </c>
      <c r="R244" s="8" t="n">
        <v>46266</v>
      </c>
      <c r="S244" s="8" t="n">
        <v>46267</v>
      </c>
      <c r="T244" s="8" t="n">
        <v>46273</v>
      </c>
      <c r="U244" s="7" t="n">
        <v>22469</v>
      </c>
    </row>
    <row r="245" customFormat="false" ht="64" hidden="false" customHeight="true" outlineLevel="0" collapsed="false">
      <c r="A245" s="9" t="s">
        <v>1437</v>
      </c>
      <c r="B245" s="9" t="s">
        <v>1438</v>
      </c>
      <c r="C245" s="9" t="s">
        <v>1438</v>
      </c>
      <c r="D245" s="9" t="s">
        <v>1439</v>
      </c>
      <c r="E245" s="9" t="s">
        <v>4</v>
      </c>
      <c r="F245" s="9" t="s">
        <v>1440</v>
      </c>
      <c r="G245" s="10" t="n">
        <v>45776</v>
      </c>
      <c r="H245" s="9"/>
      <c r="I245" s="10"/>
      <c r="J245" s="9"/>
      <c r="K245" s="9" t="s">
        <v>245</v>
      </c>
      <c r="L245" s="9" t="s">
        <v>269</v>
      </c>
      <c r="M245" s="9" t="s">
        <v>244</v>
      </c>
      <c r="N245" s="9" t="n">
        <v>1</v>
      </c>
      <c r="O245" s="9" t="n">
        <v>1</v>
      </c>
      <c r="P245" s="9" t="str">
        <f aca="false">HYPERLINK("https://www.cqc.org.uk/location/1-22965951955","https://www.cqc.org.uk/location/1-22965951955")</f>
        <v>https://www.cqc.org.uk/location/1-22965951955</v>
      </c>
      <c r="Q245" s="9"/>
      <c r="R245" s="10" t="n">
        <v>46266</v>
      </c>
      <c r="S245" s="10" t="n">
        <v>46267</v>
      </c>
      <c r="T245" s="10" t="n">
        <v>46273</v>
      </c>
      <c r="U245" s="9" t="n">
        <v>30177</v>
      </c>
    </row>
    <row r="246" customFormat="false" ht="64" hidden="false" customHeight="true" outlineLevel="0" collapsed="false">
      <c r="A246" s="7" t="s">
        <v>1441</v>
      </c>
      <c r="B246" s="7" t="s">
        <v>1442</v>
      </c>
      <c r="C246" s="7" t="s">
        <v>1443</v>
      </c>
      <c r="D246" s="7" t="s">
        <v>1444</v>
      </c>
      <c r="E246" s="7" t="s">
        <v>4</v>
      </c>
      <c r="F246" s="7" t="s">
        <v>1445</v>
      </c>
      <c r="G246" s="8" t="n">
        <v>44484</v>
      </c>
      <c r="H246" s="7" t="s">
        <v>243</v>
      </c>
      <c r="I246" s="8" t="n">
        <v>45175</v>
      </c>
      <c r="J246" s="7" t="s">
        <v>244</v>
      </c>
      <c r="K246" s="7" t="s">
        <v>252</v>
      </c>
      <c r="L246" s="7" t="s">
        <v>805</v>
      </c>
      <c r="M246" s="7" t="s">
        <v>254</v>
      </c>
      <c r="N246" s="7" t="n">
        <v>1</v>
      </c>
      <c r="O246" s="7" t="n">
        <v>1</v>
      </c>
      <c r="P246" s="7" t="str">
        <f aca="false">HYPERLINK("https://www.cqc.org.uk/location/1-11817013995","https://www.cqc.org.uk/location/1-11817013995")</f>
        <v>https://www.cqc.org.uk/location/1-11817013995</v>
      </c>
      <c r="Q246" s="7" t="s">
        <v>1446</v>
      </c>
      <c r="R246" s="8" t="n">
        <v>46266</v>
      </c>
      <c r="S246" s="8" t="n">
        <v>46267</v>
      </c>
      <c r="T246" s="8" t="n">
        <v>46273</v>
      </c>
      <c r="U246" s="7" t="n">
        <v>4698</v>
      </c>
    </row>
    <row r="247" customFormat="false" ht="64" hidden="false" customHeight="true" outlineLevel="0" collapsed="false">
      <c r="A247" s="9" t="s">
        <v>1447</v>
      </c>
      <c r="B247" s="9" t="s">
        <v>1448</v>
      </c>
      <c r="C247" s="9" t="s">
        <v>1448</v>
      </c>
      <c r="D247" s="9" t="s">
        <v>1449</v>
      </c>
      <c r="E247" s="9" t="s">
        <v>4</v>
      </c>
      <c r="F247" s="9" t="s">
        <v>1450</v>
      </c>
      <c r="G247" s="10" t="n">
        <v>42443</v>
      </c>
      <c r="H247" s="9" t="s">
        <v>268</v>
      </c>
      <c r="I247" s="10" t="n">
        <v>43869</v>
      </c>
      <c r="J247" s="9" t="s">
        <v>244</v>
      </c>
      <c r="K247" s="9" t="s">
        <v>252</v>
      </c>
      <c r="L247" s="9" t="s">
        <v>386</v>
      </c>
      <c r="M247" s="9" t="s">
        <v>254</v>
      </c>
      <c r="N247" s="9" t="n">
        <v>1</v>
      </c>
      <c r="O247" s="9" t="n">
        <v>1</v>
      </c>
      <c r="P247" s="9" t="str">
        <f aca="false">HYPERLINK("https://www.cqc.org.uk/location/1-2521436412","https://www.cqc.org.uk/location/1-2521436412")</f>
        <v>https://www.cqc.org.uk/location/1-2521436412</v>
      </c>
      <c r="Q247" s="9" t="s">
        <v>1451</v>
      </c>
      <c r="R247" s="10" t="n">
        <v>46266</v>
      </c>
      <c r="S247" s="10" t="n">
        <v>46267</v>
      </c>
      <c r="T247" s="10" t="n">
        <v>46273</v>
      </c>
      <c r="U247" s="9" t="n">
        <v>33218</v>
      </c>
    </row>
    <row r="248" customFormat="false" ht="64" hidden="false" customHeight="true" outlineLevel="0" collapsed="false">
      <c r="A248" s="7" t="s">
        <v>1452</v>
      </c>
      <c r="B248" s="7" t="s">
        <v>1453</v>
      </c>
      <c r="C248" s="7" t="s">
        <v>1454</v>
      </c>
      <c r="D248" s="7" t="s">
        <v>1455</v>
      </c>
      <c r="E248" s="7" t="s">
        <v>4</v>
      </c>
      <c r="F248" s="7" t="s">
        <v>1103</v>
      </c>
      <c r="G248" s="8" t="n">
        <v>44095</v>
      </c>
      <c r="H248" s="7" t="s">
        <v>243</v>
      </c>
      <c r="I248" s="8" t="n">
        <v>46127</v>
      </c>
      <c r="J248" s="7" t="s">
        <v>244</v>
      </c>
      <c r="K248" s="7" t="s">
        <v>245</v>
      </c>
      <c r="L248" s="7" t="s">
        <v>451</v>
      </c>
      <c r="M248" s="7" t="s">
        <v>244</v>
      </c>
      <c r="N248" s="7" t="n">
        <v>2</v>
      </c>
      <c r="O248" s="7" t="n">
        <v>1</v>
      </c>
      <c r="P248" s="7" t="str">
        <f aca="false">HYPERLINK("https://www.cqc.org.uk/location/1-9507395022","https://www.cqc.org.uk/location/1-9507395022")</f>
        <v>https://www.cqc.org.uk/location/1-9507395022</v>
      </c>
      <c r="Q248" s="7" t="s">
        <v>1456</v>
      </c>
      <c r="R248" s="8" t="n">
        <v>46266</v>
      </c>
      <c r="S248" s="8" t="n">
        <v>46267</v>
      </c>
      <c r="T248" s="8" t="n">
        <v>46273</v>
      </c>
      <c r="U248" s="7" t="n">
        <v>54477</v>
      </c>
    </row>
    <row r="249" customFormat="false" ht="64" hidden="false" customHeight="true" outlineLevel="0" collapsed="false">
      <c r="A249" s="9" t="s">
        <v>1457</v>
      </c>
      <c r="B249" s="9" t="s">
        <v>1458</v>
      </c>
      <c r="C249" s="9" t="s">
        <v>59</v>
      </c>
      <c r="D249" s="9" t="s">
        <v>63</v>
      </c>
      <c r="E249" s="9" t="s">
        <v>4</v>
      </c>
      <c r="F249" s="9" t="s">
        <v>1459</v>
      </c>
      <c r="G249" s="10" t="n">
        <v>41668</v>
      </c>
      <c r="H249" s="9" t="s">
        <v>268</v>
      </c>
      <c r="I249" s="10" t="n">
        <v>43042</v>
      </c>
      <c r="J249" s="9" t="s">
        <v>244</v>
      </c>
      <c r="K249" s="9" t="s">
        <v>245</v>
      </c>
      <c r="L249" s="9" t="s">
        <v>289</v>
      </c>
      <c r="M249" s="9" t="s">
        <v>244</v>
      </c>
      <c r="N249" s="9" t="n">
        <v>5</v>
      </c>
      <c r="O249" s="9" t="n">
        <v>4</v>
      </c>
      <c r="P249" s="9" t="str">
        <f aca="false">HYPERLINK("https://www.cqc.org.uk/location/1-1195236662","https://www.cqc.org.uk/location/1-1195236662")</f>
        <v>https://www.cqc.org.uk/location/1-1195236662</v>
      </c>
      <c r="Q249" s="9" t="s">
        <v>1460</v>
      </c>
      <c r="R249" s="10" t="n">
        <v>46266</v>
      </c>
      <c r="S249" s="10" t="n">
        <v>46267</v>
      </c>
      <c r="T249" s="10" t="n">
        <v>46273</v>
      </c>
      <c r="U249" s="9" t="n">
        <v>5423</v>
      </c>
    </row>
    <row r="250" customFormat="false" ht="64" hidden="false" customHeight="true" outlineLevel="0" collapsed="false">
      <c r="A250" s="7" t="s">
        <v>1461</v>
      </c>
      <c r="B250" s="7" t="s">
        <v>1462</v>
      </c>
      <c r="C250" s="7" t="s">
        <v>59</v>
      </c>
      <c r="D250" s="7" t="s">
        <v>63</v>
      </c>
      <c r="E250" s="7" t="s">
        <v>4</v>
      </c>
      <c r="F250" s="7" t="s">
        <v>1463</v>
      </c>
      <c r="G250" s="8" t="n">
        <v>40529</v>
      </c>
      <c r="H250" s="7" t="s">
        <v>243</v>
      </c>
      <c r="I250" s="8" t="n">
        <v>45453</v>
      </c>
      <c r="J250" s="7" t="s">
        <v>244</v>
      </c>
      <c r="K250" s="7" t="s">
        <v>914</v>
      </c>
      <c r="L250" s="7" t="s">
        <v>451</v>
      </c>
      <c r="M250" s="7" t="s">
        <v>244</v>
      </c>
      <c r="N250" s="7" t="n">
        <v>5</v>
      </c>
      <c r="O250" s="7" t="n">
        <v>4</v>
      </c>
      <c r="P250" s="7" t="str">
        <f aca="false">HYPERLINK("https://www.cqc.org.uk/location/1-130731530","https://www.cqc.org.uk/location/1-130731530")</f>
        <v>https://www.cqc.org.uk/location/1-130731530</v>
      </c>
      <c r="Q250" s="7" t="s">
        <v>1460</v>
      </c>
      <c r="R250" s="8" t="n">
        <v>46266</v>
      </c>
      <c r="S250" s="8" t="n">
        <v>46267</v>
      </c>
      <c r="T250" s="8" t="n">
        <v>46273</v>
      </c>
      <c r="U250" s="7" t="n">
        <v>10351</v>
      </c>
    </row>
    <row r="251" customFormat="false" ht="64" hidden="false" customHeight="true" outlineLevel="0" collapsed="false">
      <c r="A251" s="9" t="s">
        <v>1464</v>
      </c>
      <c r="B251" s="9" t="s">
        <v>1465</v>
      </c>
      <c r="C251" s="9" t="s">
        <v>59</v>
      </c>
      <c r="D251" s="9" t="s">
        <v>63</v>
      </c>
      <c r="E251" s="9" t="s">
        <v>4</v>
      </c>
      <c r="F251" s="9" t="s">
        <v>1459</v>
      </c>
      <c r="G251" s="10" t="n">
        <v>40529</v>
      </c>
      <c r="H251" s="9" t="s">
        <v>268</v>
      </c>
      <c r="I251" s="10" t="n">
        <v>45784</v>
      </c>
      <c r="J251" s="9" t="s">
        <v>244</v>
      </c>
      <c r="K251" s="9" t="s">
        <v>245</v>
      </c>
      <c r="L251" s="9" t="s">
        <v>451</v>
      </c>
      <c r="M251" s="9" t="s">
        <v>244</v>
      </c>
      <c r="N251" s="9" t="n">
        <v>5</v>
      </c>
      <c r="O251" s="9" t="n">
        <v>4</v>
      </c>
      <c r="P251" s="9" t="str">
        <f aca="false">HYPERLINK("https://www.cqc.org.uk/location/1-130731599","https://www.cqc.org.uk/location/1-130731599")</f>
        <v>https://www.cqc.org.uk/location/1-130731599</v>
      </c>
      <c r="Q251" s="9" t="s">
        <v>1460</v>
      </c>
      <c r="R251" s="10" t="n">
        <v>46266</v>
      </c>
      <c r="S251" s="10" t="n">
        <v>46267</v>
      </c>
      <c r="T251" s="10" t="n">
        <v>46273</v>
      </c>
      <c r="U251" s="9" t="n">
        <v>10352</v>
      </c>
    </row>
    <row r="252" customFormat="false" ht="64" hidden="false" customHeight="true" outlineLevel="0" collapsed="false">
      <c r="A252" s="7" t="s">
        <v>64</v>
      </c>
      <c r="B252" s="7" t="s">
        <v>65</v>
      </c>
      <c r="C252" s="7" t="s">
        <v>59</v>
      </c>
      <c r="D252" s="7" t="s">
        <v>63</v>
      </c>
      <c r="E252" s="7" t="s">
        <v>4</v>
      </c>
      <c r="F252" s="7" t="s">
        <v>1466</v>
      </c>
      <c r="G252" s="8" t="n">
        <v>42199</v>
      </c>
      <c r="H252" s="7" t="s">
        <v>268</v>
      </c>
      <c r="I252" s="8" t="n">
        <v>45467</v>
      </c>
      <c r="J252" s="7" t="s">
        <v>244</v>
      </c>
      <c r="K252" s="7" t="s">
        <v>245</v>
      </c>
      <c r="L252" s="7" t="s">
        <v>464</v>
      </c>
      <c r="M252" s="7" t="s">
        <v>244</v>
      </c>
      <c r="N252" s="7" t="n">
        <v>5</v>
      </c>
      <c r="O252" s="7" t="n">
        <v>4</v>
      </c>
      <c r="P252" s="7" t="str">
        <f aca="false">HYPERLINK("https://www.cqc.org.uk/location/1-2132613650","https://www.cqc.org.uk/location/1-2132613650")</f>
        <v>https://www.cqc.org.uk/location/1-2132613650</v>
      </c>
      <c r="Q252" s="7" t="s">
        <v>1460</v>
      </c>
      <c r="R252" s="8" t="n">
        <v>46266</v>
      </c>
      <c r="S252" s="8" t="n">
        <v>46267</v>
      </c>
      <c r="T252" s="8" t="n">
        <v>46273</v>
      </c>
      <c r="U252" s="7" t="n">
        <v>27273</v>
      </c>
    </row>
    <row r="253" customFormat="false" ht="64" hidden="false" customHeight="true" outlineLevel="0" collapsed="false">
      <c r="A253" s="9" t="s">
        <v>1467</v>
      </c>
      <c r="B253" s="9" t="s">
        <v>1468</v>
      </c>
      <c r="C253" s="9" t="s">
        <v>1469</v>
      </c>
      <c r="D253" s="9" t="s">
        <v>1470</v>
      </c>
      <c r="E253" s="9" t="s">
        <v>4</v>
      </c>
      <c r="F253" s="9" t="s">
        <v>1471</v>
      </c>
      <c r="G253" s="10" t="n">
        <v>43990</v>
      </c>
      <c r="H253" s="9" t="s">
        <v>243</v>
      </c>
      <c r="I253" s="10" t="n">
        <v>44825</v>
      </c>
      <c r="J253" s="9" t="s">
        <v>244</v>
      </c>
      <c r="K253" s="9" t="s">
        <v>245</v>
      </c>
      <c r="L253" s="9" t="s">
        <v>280</v>
      </c>
      <c r="M253" s="9" t="s">
        <v>244</v>
      </c>
      <c r="N253" s="9" t="n">
        <v>1</v>
      </c>
      <c r="O253" s="9" t="n">
        <v>1</v>
      </c>
      <c r="P253" s="9" t="str">
        <f aca="false">HYPERLINK("https://www.cqc.org.uk/location/1-9012280065","https://www.cqc.org.uk/location/1-9012280065")</f>
        <v>https://www.cqc.org.uk/location/1-9012280065</v>
      </c>
      <c r="Q253" s="9"/>
      <c r="R253" s="10" t="n">
        <v>46266</v>
      </c>
      <c r="S253" s="10" t="n">
        <v>46267</v>
      </c>
      <c r="T253" s="10" t="n">
        <v>46273</v>
      </c>
      <c r="U253" s="9" t="n">
        <v>53689</v>
      </c>
    </row>
    <row r="254" customFormat="false" ht="64" hidden="false" customHeight="true" outlineLevel="0" collapsed="false">
      <c r="A254" s="7" t="s">
        <v>1472</v>
      </c>
      <c r="B254" s="7" t="s">
        <v>1473</v>
      </c>
      <c r="C254" s="7" t="s">
        <v>1474</v>
      </c>
      <c r="D254" s="7" t="s">
        <v>1475</v>
      </c>
      <c r="E254" s="7" t="s">
        <v>4</v>
      </c>
      <c r="F254" s="7" t="s">
        <v>920</v>
      </c>
      <c r="G254" s="8" t="n">
        <v>45471</v>
      </c>
      <c r="H254" s="7"/>
      <c r="I254" s="8"/>
      <c r="J254" s="7"/>
      <c r="K254" s="7" t="s">
        <v>245</v>
      </c>
      <c r="L254" s="7" t="s">
        <v>1476</v>
      </c>
      <c r="M254" s="7" t="s">
        <v>244</v>
      </c>
      <c r="N254" s="7" t="n">
        <v>1</v>
      </c>
      <c r="O254" s="7" t="n">
        <v>1</v>
      </c>
      <c r="P254" s="7" t="str">
        <f aca="false">HYPERLINK("https://www.cqc.org.uk/location/1-19660075888","https://www.cqc.org.uk/location/1-19660075888")</f>
        <v>https://www.cqc.org.uk/location/1-19660075888</v>
      </c>
      <c r="Q254" s="7" t="s">
        <v>1477</v>
      </c>
      <c r="R254" s="8" t="n">
        <v>46266</v>
      </c>
      <c r="S254" s="8" t="n">
        <v>46267</v>
      </c>
      <c r="T254" s="8" t="n">
        <v>46273</v>
      </c>
      <c r="U254" s="7" t="n">
        <v>23077</v>
      </c>
    </row>
    <row r="255" customFormat="false" ht="64" hidden="false" customHeight="true" outlineLevel="0" collapsed="false">
      <c r="A255" s="9" t="s">
        <v>1478</v>
      </c>
      <c r="B255" s="9" t="s">
        <v>4</v>
      </c>
      <c r="C255" s="9" t="s">
        <v>1479</v>
      </c>
      <c r="D255" s="9" t="s">
        <v>1480</v>
      </c>
      <c r="E255" s="9" t="s">
        <v>4</v>
      </c>
      <c r="F255" s="9" t="s">
        <v>1109</v>
      </c>
      <c r="G255" s="10" t="n">
        <v>45267</v>
      </c>
      <c r="H255" s="9"/>
      <c r="I255" s="10"/>
      <c r="J255" s="9"/>
      <c r="K255" s="9" t="s">
        <v>252</v>
      </c>
      <c r="L255" s="9" t="s">
        <v>1481</v>
      </c>
      <c r="M255" s="9" t="s">
        <v>254</v>
      </c>
      <c r="N255" s="9" t="n">
        <v>2</v>
      </c>
      <c r="O255" s="9" t="n">
        <v>1</v>
      </c>
      <c r="P255" s="9" t="str">
        <f aca="false">HYPERLINK("https://www.cqc.org.uk/location/1-18034475581","https://www.cqc.org.uk/location/1-18034475581")</f>
        <v>https://www.cqc.org.uk/location/1-18034475581</v>
      </c>
      <c r="Q255" s="9" t="s">
        <v>1482</v>
      </c>
      <c r="R255" s="10" t="n">
        <v>46266</v>
      </c>
      <c r="S255" s="10" t="n">
        <v>46267</v>
      </c>
      <c r="T255" s="10" t="n">
        <v>46273</v>
      </c>
      <c r="U255" s="9" t="n">
        <v>19266</v>
      </c>
    </row>
    <row r="256" customFormat="false" ht="64" hidden="false" customHeight="true" outlineLevel="0" collapsed="false">
      <c r="A256" s="7" t="s">
        <v>1483</v>
      </c>
      <c r="B256" s="7" t="s">
        <v>1484</v>
      </c>
      <c r="C256" s="7" t="s">
        <v>1485</v>
      </c>
      <c r="D256" s="7" t="s">
        <v>1486</v>
      </c>
      <c r="E256" s="7" t="s">
        <v>4</v>
      </c>
      <c r="F256" s="7" t="s">
        <v>1487</v>
      </c>
      <c r="G256" s="8" t="n">
        <v>44597</v>
      </c>
      <c r="H256" s="7"/>
      <c r="I256" s="8"/>
      <c r="J256" s="7"/>
      <c r="K256" s="7" t="s">
        <v>252</v>
      </c>
      <c r="L256" s="7" t="s">
        <v>386</v>
      </c>
      <c r="M256" s="7" t="s">
        <v>254</v>
      </c>
      <c r="N256" s="7" t="n">
        <v>1</v>
      </c>
      <c r="O256" s="7" t="n">
        <v>1</v>
      </c>
      <c r="P256" s="7" t="str">
        <f aca="false">HYPERLINK("https://www.cqc.org.uk/location/1-12472016078","https://www.cqc.org.uk/location/1-12472016078")</f>
        <v>https://www.cqc.org.uk/location/1-12472016078</v>
      </c>
      <c r="Q256" s="7" t="s">
        <v>1488</v>
      </c>
      <c r="R256" s="8" t="n">
        <v>46266</v>
      </c>
      <c r="S256" s="8" t="n">
        <v>46267</v>
      </c>
      <c r="T256" s="8" t="n">
        <v>46273</v>
      </c>
      <c r="U256" s="7" t="n">
        <v>7859</v>
      </c>
    </row>
    <row r="257" customFormat="false" ht="64" hidden="false" customHeight="true" outlineLevel="0" collapsed="false">
      <c r="A257" s="9" t="s">
        <v>1489</v>
      </c>
      <c r="B257" s="9" t="s">
        <v>1490</v>
      </c>
      <c r="C257" s="9" t="s">
        <v>1490</v>
      </c>
      <c r="D257" s="9" t="s">
        <v>1491</v>
      </c>
      <c r="E257" s="9" t="s">
        <v>4</v>
      </c>
      <c r="F257" s="9" t="s">
        <v>649</v>
      </c>
      <c r="G257" s="10" t="n">
        <v>41579</v>
      </c>
      <c r="H257" s="9" t="s">
        <v>268</v>
      </c>
      <c r="I257" s="10" t="n">
        <v>43823</v>
      </c>
      <c r="J257" s="9" t="s">
        <v>244</v>
      </c>
      <c r="K257" s="9" t="s">
        <v>726</v>
      </c>
      <c r="L257" s="9" t="s">
        <v>1492</v>
      </c>
      <c r="M257" s="9" t="s">
        <v>254</v>
      </c>
      <c r="N257" s="9" t="n">
        <v>1</v>
      </c>
      <c r="O257" s="9" t="n">
        <v>1</v>
      </c>
      <c r="P257" s="9" t="str">
        <f aca="false">HYPERLINK("https://www.cqc.org.uk/location/1-968901596","https://www.cqc.org.uk/location/1-968901596")</f>
        <v>https://www.cqc.org.uk/location/1-968901596</v>
      </c>
      <c r="Q257" s="9"/>
      <c r="R257" s="10" t="n">
        <v>46266</v>
      </c>
      <c r="S257" s="10" t="n">
        <v>46267</v>
      </c>
      <c r="T257" s="10" t="n">
        <v>46273</v>
      </c>
      <c r="U257" s="9" t="n">
        <v>54807</v>
      </c>
    </row>
    <row r="258" customFormat="false" ht="64" hidden="false" customHeight="true" outlineLevel="0" collapsed="false">
      <c r="A258" s="7" t="s">
        <v>1493</v>
      </c>
      <c r="B258" s="7" t="s">
        <v>1494</v>
      </c>
      <c r="C258" s="7" t="s">
        <v>1495</v>
      </c>
      <c r="D258" s="7" t="s">
        <v>1496</v>
      </c>
      <c r="E258" s="7" t="s">
        <v>4</v>
      </c>
      <c r="F258" s="7" t="s">
        <v>1497</v>
      </c>
      <c r="G258" s="8" t="n">
        <v>45002</v>
      </c>
      <c r="H258" s="7"/>
      <c r="I258" s="8"/>
      <c r="J258" s="7"/>
      <c r="K258" s="7" t="s">
        <v>252</v>
      </c>
      <c r="L258" s="7" t="s">
        <v>280</v>
      </c>
      <c r="M258" s="7" t="s">
        <v>254</v>
      </c>
      <c r="N258" s="7" t="n">
        <v>1</v>
      </c>
      <c r="O258" s="7" t="n">
        <v>1</v>
      </c>
      <c r="P258" s="7" t="str">
        <f aca="false">HYPERLINK("https://www.cqc.org.uk/location/1-15232915300","https://www.cqc.org.uk/location/1-15232915300")</f>
        <v>https://www.cqc.org.uk/location/1-15232915300</v>
      </c>
      <c r="Q258" s="7" t="s">
        <v>1498</v>
      </c>
      <c r="R258" s="8" t="n">
        <v>46266</v>
      </c>
      <c r="S258" s="8" t="n">
        <v>46267</v>
      </c>
      <c r="T258" s="8" t="n">
        <v>46273</v>
      </c>
      <c r="U258" s="7" t="n">
        <v>15739</v>
      </c>
    </row>
    <row r="259" customFormat="false" ht="64" hidden="false" customHeight="true" outlineLevel="0" collapsed="false">
      <c r="A259" s="9" t="s">
        <v>1499</v>
      </c>
      <c r="B259" s="9" t="s">
        <v>1500</v>
      </c>
      <c r="C259" s="9" t="s">
        <v>1500</v>
      </c>
      <c r="D259" s="9" t="s">
        <v>1501</v>
      </c>
      <c r="E259" s="9" t="s">
        <v>4</v>
      </c>
      <c r="F259" s="9" t="s">
        <v>1502</v>
      </c>
      <c r="G259" s="10" t="n">
        <v>40556</v>
      </c>
      <c r="H259" s="9" t="s">
        <v>243</v>
      </c>
      <c r="I259" s="10" t="n">
        <v>45085</v>
      </c>
      <c r="J259" s="9" t="s">
        <v>244</v>
      </c>
      <c r="K259" s="9" t="s">
        <v>245</v>
      </c>
      <c r="L259" s="9" t="s">
        <v>1503</v>
      </c>
      <c r="M259" s="9" t="s">
        <v>244</v>
      </c>
      <c r="N259" s="9" t="n">
        <v>1</v>
      </c>
      <c r="O259" s="9" t="n">
        <v>1</v>
      </c>
      <c r="P259" s="9" t="str">
        <f aca="false">HYPERLINK("https://www.cqc.org.uk/location/1-124831283","https://www.cqc.org.uk/location/1-124831283")</f>
        <v>https://www.cqc.org.uk/location/1-124831283</v>
      </c>
      <c r="Q259" s="9"/>
      <c r="R259" s="10" t="n">
        <v>46266</v>
      </c>
      <c r="S259" s="10" t="n">
        <v>46267</v>
      </c>
      <c r="T259" s="10" t="n">
        <v>46273</v>
      </c>
      <c r="U259" s="9" t="n">
        <v>7894</v>
      </c>
    </row>
    <row r="260" customFormat="false" ht="64" hidden="false" customHeight="true" outlineLevel="0" collapsed="false">
      <c r="A260" s="7" t="s">
        <v>1504</v>
      </c>
      <c r="B260" s="7" t="s">
        <v>1505</v>
      </c>
      <c r="C260" s="7" t="s">
        <v>1506</v>
      </c>
      <c r="D260" s="7" t="s">
        <v>1507</v>
      </c>
      <c r="E260" s="7" t="s">
        <v>4</v>
      </c>
      <c r="F260" s="7" t="s">
        <v>1508</v>
      </c>
      <c r="G260" s="8" t="n">
        <v>45090</v>
      </c>
      <c r="H260" s="7"/>
      <c r="I260" s="8"/>
      <c r="J260" s="7"/>
      <c r="K260" s="7" t="s">
        <v>245</v>
      </c>
      <c r="L260" s="7" t="s">
        <v>848</v>
      </c>
      <c r="M260" s="7" t="s">
        <v>244</v>
      </c>
      <c r="N260" s="7" t="n">
        <v>1</v>
      </c>
      <c r="O260" s="7" t="n">
        <v>1</v>
      </c>
      <c r="P260" s="7" t="str">
        <f aca="false">HYPERLINK("https://www.cqc.org.uk/location/1-16093771185","https://www.cqc.org.uk/location/1-16093771185")</f>
        <v>https://www.cqc.org.uk/location/1-16093771185</v>
      </c>
      <c r="Q260" s="7"/>
      <c r="R260" s="8" t="n">
        <v>46266</v>
      </c>
      <c r="S260" s="8" t="n">
        <v>46267</v>
      </c>
      <c r="T260" s="8" t="n">
        <v>46273</v>
      </c>
      <c r="U260" s="7" t="n">
        <v>16998</v>
      </c>
    </row>
    <row r="261" customFormat="false" ht="64" hidden="false" customHeight="true" outlineLevel="0" collapsed="false">
      <c r="A261" s="9" t="s">
        <v>1509</v>
      </c>
      <c r="B261" s="9" t="s">
        <v>1510</v>
      </c>
      <c r="C261" s="9" t="s">
        <v>1510</v>
      </c>
      <c r="D261" s="9" t="s">
        <v>1511</v>
      </c>
      <c r="E261" s="9" t="s">
        <v>4</v>
      </c>
      <c r="F261" s="9" t="s">
        <v>1512</v>
      </c>
      <c r="G261" s="10" t="n">
        <v>45804</v>
      </c>
      <c r="H261" s="9"/>
      <c r="I261" s="10"/>
      <c r="J261" s="9"/>
      <c r="K261" s="9" t="s">
        <v>245</v>
      </c>
      <c r="L261" s="9" t="s">
        <v>1092</v>
      </c>
      <c r="M261" s="9" t="s">
        <v>244</v>
      </c>
      <c r="N261" s="9" t="n">
        <v>1</v>
      </c>
      <c r="O261" s="9" t="n">
        <v>1</v>
      </c>
      <c r="P261" s="9" t="str">
        <f aca="false">HYPERLINK("https://www.cqc.org.uk/location/1-22163593039","https://www.cqc.org.uk/location/1-22163593039")</f>
        <v>https://www.cqc.org.uk/location/1-22163593039</v>
      </c>
      <c r="Q261" s="9" t="s">
        <v>1513</v>
      </c>
      <c r="R261" s="10" t="n">
        <v>46266</v>
      </c>
      <c r="S261" s="10" t="n">
        <v>46267</v>
      </c>
      <c r="T261" s="10" t="n">
        <v>46273</v>
      </c>
      <c r="U261" s="9" t="n">
        <v>29325</v>
      </c>
    </row>
    <row r="262" customFormat="false" ht="64" hidden="false" customHeight="true" outlineLevel="0" collapsed="false">
      <c r="A262" s="7" t="s">
        <v>204</v>
      </c>
      <c r="B262" s="7" t="s">
        <v>199</v>
      </c>
      <c r="C262" s="7" t="s">
        <v>199</v>
      </c>
      <c r="D262" s="7" t="s">
        <v>203</v>
      </c>
      <c r="E262" s="7" t="s">
        <v>4</v>
      </c>
      <c r="F262" s="7" t="s">
        <v>1514</v>
      </c>
      <c r="G262" s="8" t="n">
        <v>46048</v>
      </c>
      <c r="H262" s="7"/>
      <c r="I262" s="8"/>
      <c r="J262" s="7"/>
      <c r="K262" s="7" t="s">
        <v>245</v>
      </c>
      <c r="L262" s="7" t="s">
        <v>1515</v>
      </c>
      <c r="M262" s="7" t="s">
        <v>244</v>
      </c>
      <c r="N262" s="7" t="n">
        <v>1</v>
      </c>
      <c r="O262" s="7" t="n">
        <v>1</v>
      </c>
      <c r="P262" s="7" t="str">
        <f aca="false">HYPERLINK("https://www.cqc.org.uk/location/1-26602914843","https://www.cqc.org.uk/location/1-26602914843")</f>
        <v>https://www.cqc.org.uk/location/1-26602914843</v>
      </c>
      <c r="Q262" s="7"/>
      <c r="R262" s="8" t="n">
        <v>46266</v>
      </c>
      <c r="S262" s="8" t="n">
        <v>46267</v>
      </c>
      <c r="T262" s="8" t="n">
        <v>46273</v>
      </c>
      <c r="U262" s="7" t="n">
        <v>34907</v>
      </c>
    </row>
    <row r="263" customFormat="false" ht="64" hidden="false" customHeight="true" outlineLevel="0" collapsed="false">
      <c r="A263" s="9" t="s">
        <v>217</v>
      </c>
      <c r="B263" s="9" t="s">
        <v>212</v>
      </c>
      <c r="C263" s="9" t="s">
        <v>212</v>
      </c>
      <c r="D263" s="9" t="s">
        <v>216</v>
      </c>
      <c r="E263" s="9" t="s">
        <v>4</v>
      </c>
      <c r="F263" s="9" t="s">
        <v>1275</v>
      </c>
      <c r="G263" s="10" t="n">
        <v>46009</v>
      </c>
      <c r="H263" s="9" t="s">
        <v>268</v>
      </c>
      <c r="I263" s="10" t="n">
        <v>44706</v>
      </c>
      <c r="J263" s="9" t="s">
        <v>254</v>
      </c>
      <c r="K263" s="9" t="s">
        <v>252</v>
      </c>
      <c r="L263" s="9" t="s">
        <v>386</v>
      </c>
      <c r="M263" s="9" t="s">
        <v>254</v>
      </c>
      <c r="N263" s="9" t="n">
        <v>3</v>
      </c>
      <c r="O263" s="9" t="n">
        <v>1</v>
      </c>
      <c r="P263" s="9" t="str">
        <f aca="false">HYPERLINK("https://www.cqc.org.uk/location/1-26103753760","https://www.cqc.org.uk/location/1-26103753760")</f>
        <v>https://www.cqc.org.uk/location/1-26103753760</v>
      </c>
      <c r="Q263" s="9"/>
      <c r="R263" s="10" t="n">
        <v>46266</v>
      </c>
      <c r="S263" s="10" t="n">
        <v>46267</v>
      </c>
      <c r="T263" s="10" t="n">
        <v>46273</v>
      </c>
      <c r="U263" s="9" t="n">
        <v>34390</v>
      </c>
    </row>
    <row r="264" customFormat="false" ht="64" hidden="false" customHeight="true" outlineLevel="0" collapsed="false">
      <c r="A264" s="7" t="s">
        <v>1516</v>
      </c>
      <c r="B264" s="7" t="s">
        <v>1517</v>
      </c>
      <c r="C264" s="7" t="s">
        <v>1517</v>
      </c>
      <c r="D264" s="7" t="s">
        <v>1518</v>
      </c>
      <c r="E264" s="7" t="s">
        <v>4</v>
      </c>
      <c r="F264" s="7" t="s">
        <v>1364</v>
      </c>
      <c r="G264" s="8" t="n">
        <v>43325</v>
      </c>
      <c r="H264" s="7"/>
      <c r="I264" s="8"/>
      <c r="J264" s="7"/>
      <c r="K264" s="7" t="s">
        <v>252</v>
      </c>
      <c r="L264" s="7" t="s">
        <v>1045</v>
      </c>
      <c r="M264" s="7" t="s">
        <v>254</v>
      </c>
      <c r="N264" s="7" t="n">
        <v>1</v>
      </c>
      <c r="O264" s="7" t="n">
        <v>1</v>
      </c>
      <c r="P264" s="7" t="str">
        <f aca="false">HYPERLINK("https://www.cqc.org.uk/location/1-5587608353","https://www.cqc.org.uk/location/1-5587608353")</f>
        <v>https://www.cqc.org.uk/location/1-5587608353</v>
      </c>
      <c r="Q264" s="7" t="s">
        <v>1519</v>
      </c>
      <c r="R264" s="8" t="n">
        <v>46266</v>
      </c>
      <c r="S264" s="8" t="n">
        <v>46267</v>
      </c>
      <c r="T264" s="8" t="n">
        <v>46273</v>
      </c>
      <c r="U264" s="7" t="n">
        <v>46955</v>
      </c>
    </row>
    <row r="265" customFormat="false" ht="64" hidden="false" customHeight="true" outlineLevel="0" collapsed="false">
      <c r="A265" s="9" t="s">
        <v>1520</v>
      </c>
      <c r="B265" s="9" t="s">
        <v>1521</v>
      </c>
      <c r="C265" s="9" t="s">
        <v>1521</v>
      </c>
      <c r="D265" s="9" t="s">
        <v>1522</v>
      </c>
      <c r="E265" s="9" t="s">
        <v>4</v>
      </c>
      <c r="F265" s="9" t="s">
        <v>1523</v>
      </c>
      <c r="G265" s="10" t="n">
        <v>45834</v>
      </c>
      <c r="H265" s="9"/>
      <c r="I265" s="10"/>
      <c r="J265" s="9"/>
      <c r="K265" s="9" t="s">
        <v>245</v>
      </c>
      <c r="L265" s="9" t="s">
        <v>848</v>
      </c>
      <c r="M265" s="9" t="s">
        <v>244</v>
      </c>
      <c r="N265" s="9" t="n">
        <v>1</v>
      </c>
      <c r="O265" s="9" t="n">
        <v>1</v>
      </c>
      <c r="P265" s="9" t="str">
        <f aca="false">HYPERLINK("https://www.cqc.org.uk/location/1-23701101211","https://www.cqc.org.uk/location/1-23701101211")</f>
        <v>https://www.cqc.org.uk/location/1-23701101211</v>
      </c>
      <c r="Q265" s="9" t="s">
        <v>1524</v>
      </c>
      <c r="R265" s="10" t="n">
        <v>46266</v>
      </c>
      <c r="S265" s="10" t="n">
        <v>46267</v>
      </c>
      <c r="T265" s="10" t="n">
        <v>46273</v>
      </c>
      <c r="U265" s="9" t="n">
        <v>31263</v>
      </c>
    </row>
    <row r="266" customFormat="false" ht="64" hidden="false" customHeight="true" outlineLevel="0" collapsed="false">
      <c r="A266" s="7" t="s">
        <v>1525</v>
      </c>
      <c r="B266" s="7" t="s">
        <v>1526</v>
      </c>
      <c r="C266" s="7" t="s">
        <v>1526</v>
      </c>
      <c r="D266" s="7" t="s">
        <v>1527</v>
      </c>
      <c r="E266" s="7" t="s">
        <v>4</v>
      </c>
      <c r="F266" s="7" t="s">
        <v>1528</v>
      </c>
      <c r="G266" s="8" t="n">
        <v>40560</v>
      </c>
      <c r="H266" s="7" t="s">
        <v>268</v>
      </c>
      <c r="I266" s="8" t="n">
        <v>43811</v>
      </c>
      <c r="J266" s="7" t="s">
        <v>244</v>
      </c>
      <c r="K266" s="7" t="s">
        <v>252</v>
      </c>
      <c r="L266" s="7" t="s">
        <v>427</v>
      </c>
      <c r="M266" s="7" t="s">
        <v>254</v>
      </c>
      <c r="N266" s="7" t="n">
        <v>1</v>
      </c>
      <c r="O266" s="7" t="n">
        <v>1</v>
      </c>
      <c r="P266" s="7" t="str">
        <f aca="false">HYPERLINK("https://www.cqc.org.uk/location/1-111464277","https://www.cqc.org.uk/location/1-111464277")</f>
        <v>https://www.cqc.org.uk/location/1-111464277</v>
      </c>
      <c r="Q266" s="7" t="s">
        <v>1529</v>
      </c>
      <c r="R266" s="8" t="n">
        <v>46266</v>
      </c>
      <c r="S266" s="8" t="n">
        <v>46267</v>
      </c>
      <c r="T266" s="8" t="n">
        <v>46273</v>
      </c>
      <c r="U266" s="7" t="n">
        <v>2364</v>
      </c>
    </row>
    <row r="267" customFormat="false" ht="64" hidden="false" customHeight="true" outlineLevel="0" collapsed="false">
      <c r="A267" s="9" t="s">
        <v>1530</v>
      </c>
      <c r="B267" s="9" t="s">
        <v>1531</v>
      </c>
      <c r="C267" s="9" t="s">
        <v>1531</v>
      </c>
      <c r="D267" s="9" t="s">
        <v>1532</v>
      </c>
      <c r="E267" s="9" t="s">
        <v>4</v>
      </c>
      <c r="F267" s="9" t="s">
        <v>1533</v>
      </c>
      <c r="G267" s="10" t="n">
        <v>44480</v>
      </c>
      <c r="H267" s="9" t="s">
        <v>243</v>
      </c>
      <c r="I267" s="10" t="n">
        <v>46191</v>
      </c>
      <c r="J267" s="9" t="s">
        <v>244</v>
      </c>
      <c r="K267" s="9" t="s">
        <v>245</v>
      </c>
      <c r="L267" s="9" t="s">
        <v>921</v>
      </c>
      <c r="M267" s="9" t="s">
        <v>244</v>
      </c>
      <c r="N267" s="9" t="n">
        <v>1</v>
      </c>
      <c r="O267" s="9" t="n">
        <v>1</v>
      </c>
      <c r="P267" s="9" t="str">
        <f aca="false">HYPERLINK("https://www.cqc.org.uk/location/1-11488270256","https://www.cqc.org.uk/location/1-11488270256")</f>
        <v>https://www.cqc.org.uk/location/1-11488270256</v>
      </c>
      <c r="Q267" s="9" t="s">
        <v>1534</v>
      </c>
      <c r="R267" s="10" t="n">
        <v>46266</v>
      </c>
      <c r="S267" s="10" t="n">
        <v>46267</v>
      </c>
      <c r="T267" s="10" t="n">
        <v>46273</v>
      </c>
      <c r="U267" s="9" t="n">
        <v>3490</v>
      </c>
    </row>
    <row r="268" customFormat="false" ht="64" hidden="false" customHeight="true" outlineLevel="0" collapsed="false">
      <c r="A268" s="7" t="s">
        <v>167</v>
      </c>
      <c r="B268" s="7" t="s">
        <v>162</v>
      </c>
      <c r="C268" s="7" t="s">
        <v>162</v>
      </c>
      <c r="D268" s="7" t="s">
        <v>166</v>
      </c>
      <c r="E268" s="7" t="s">
        <v>4</v>
      </c>
      <c r="F268" s="7" t="s">
        <v>426</v>
      </c>
      <c r="G268" s="8" t="n">
        <v>46114</v>
      </c>
      <c r="H268" s="7"/>
      <c r="I268" s="8"/>
      <c r="J268" s="7"/>
      <c r="K268" s="7" t="s">
        <v>252</v>
      </c>
      <c r="L268" s="7" t="s">
        <v>772</v>
      </c>
      <c r="M268" s="7" t="s">
        <v>254</v>
      </c>
      <c r="N268" s="7" t="n">
        <v>1</v>
      </c>
      <c r="O268" s="7" t="n">
        <v>1</v>
      </c>
      <c r="P268" s="7" t="str">
        <f aca="false">HYPERLINK("https://www.cqc.org.uk/location/1-27510111922","https://www.cqc.org.uk/location/1-27510111922")</f>
        <v>https://www.cqc.org.uk/location/1-27510111922</v>
      </c>
      <c r="Q268" s="7"/>
      <c r="R268" s="8" t="n">
        <v>46266</v>
      </c>
      <c r="S268" s="8" t="n">
        <v>46267</v>
      </c>
      <c r="T268" s="8" t="n">
        <v>46273</v>
      </c>
      <c r="U268" s="7" t="n">
        <v>36064</v>
      </c>
    </row>
    <row r="269" customFormat="false" ht="64" hidden="false" customHeight="true" outlineLevel="0" collapsed="false">
      <c r="A269" s="9" t="s">
        <v>1535</v>
      </c>
      <c r="B269" s="9" t="s">
        <v>1536</v>
      </c>
      <c r="C269" s="9" t="s">
        <v>1536</v>
      </c>
      <c r="D269" s="9" t="s">
        <v>1537</v>
      </c>
      <c r="E269" s="9" t="s">
        <v>4</v>
      </c>
      <c r="F269" s="9" t="s">
        <v>1538</v>
      </c>
      <c r="G269" s="10" t="n">
        <v>41989</v>
      </c>
      <c r="H269" s="9" t="s">
        <v>268</v>
      </c>
      <c r="I269" s="10" t="n">
        <v>44705</v>
      </c>
      <c r="J269" s="9" t="s">
        <v>244</v>
      </c>
      <c r="K269" s="9" t="s">
        <v>245</v>
      </c>
      <c r="L269" s="9" t="s">
        <v>451</v>
      </c>
      <c r="M269" s="9" t="s">
        <v>244</v>
      </c>
      <c r="N269" s="9" t="n">
        <v>1</v>
      </c>
      <c r="O269" s="9" t="n">
        <v>1</v>
      </c>
      <c r="P269" s="9" t="str">
        <f aca="false">HYPERLINK("https://www.cqc.org.uk/location/1-1826925307","https://www.cqc.org.uk/location/1-1826925307")</f>
        <v>https://www.cqc.org.uk/location/1-1826925307</v>
      </c>
      <c r="Q269" s="9" t="s">
        <v>1539</v>
      </c>
      <c r="R269" s="10" t="n">
        <v>46266</v>
      </c>
      <c r="S269" s="10" t="n">
        <v>46267</v>
      </c>
      <c r="T269" s="10" t="n">
        <v>46273</v>
      </c>
      <c r="U269" s="9" t="n">
        <v>19642</v>
      </c>
    </row>
    <row r="270" customFormat="false" ht="64" hidden="false" customHeight="true" outlineLevel="0" collapsed="false">
      <c r="A270" s="7" t="s">
        <v>1540</v>
      </c>
      <c r="B270" s="7" t="s">
        <v>1541</v>
      </c>
      <c r="C270" s="7" t="s">
        <v>1542</v>
      </c>
      <c r="D270" s="7" t="s">
        <v>1543</v>
      </c>
      <c r="E270" s="7" t="s">
        <v>4</v>
      </c>
      <c r="F270" s="7" t="s">
        <v>1544</v>
      </c>
      <c r="G270" s="8" t="n">
        <v>42572</v>
      </c>
      <c r="H270" s="7" t="s">
        <v>260</v>
      </c>
      <c r="I270" s="8"/>
      <c r="J270" s="7" t="s">
        <v>244</v>
      </c>
      <c r="K270" s="7" t="s">
        <v>252</v>
      </c>
      <c r="L270" s="7" t="s">
        <v>289</v>
      </c>
      <c r="M270" s="7" t="s">
        <v>254</v>
      </c>
      <c r="N270" s="7" t="n">
        <v>1</v>
      </c>
      <c r="O270" s="7" t="n">
        <v>1</v>
      </c>
      <c r="P270" s="7" t="str">
        <f aca="false">HYPERLINK("https://www.cqc.org.uk/location/1-2790983508","https://www.cqc.org.uk/location/1-2790983508")</f>
        <v>https://www.cqc.org.uk/location/1-2790983508</v>
      </c>
      <c r="Q270" s="7" t="s">
        <v>1545</v>
      </c>
      <c r="R270" s="8" t="n">
        <v>46266</v>
      </c>
      <c r="S270" s="8" t="n">
        <v>46267</v>
      </c>
      <c r="T270" s="8" t="n">
        <v>46273</v>
      </c>
      <c r="U270" s="7" t="n">
        <v>36495</v>
      </c>
    </row>
    <row r="271" customFormat="false" ht="64" hidden="false" customHeight="true" outlineLevel="0" collapsed="false">
      <c r="A271" s="9" t="s">
        <v>1546</v>
      </c>
      <c r="B271" s="9" t="s">
        <v>1547</v>
      </c>
      <c r="C271" s="9" t="s">
        <v>1548</v>
      </c>
      <c r="D271" s="9" t="s">
        <v>1549</v>
      </c>
      <c r="E271" s="9" t="s">
        <v>4</v>
      </c>
      <c r="F271" s="9" t="s">
        <v>1550</v>
      </c>
      <c r="G271" s="10" t="n">
        <v>45833</v>
      </c>
      <c r="H271" s="9"/>
      <c r="I271" s="10"/>
      <c r="J271" s="9"/>
      <c r="K271" s="9" t="s">
        <v>245</v>
      </c>
      <c r="L271" s="9" t="s">
        <v>405</v>
      </c>
      <c r="M271" s="9" t="s">
        <v>244</v>
      </c>
      <c r="N271" s="9" t="n">
        <v>1</v>
      </c>
      <c r="O271" s="9" t="n">
        <v>1</v>
      </c>
      <c r="P271" s="9" t="str">
        <f aca="false">HYPERLINK("https://www.cqc.org.uk/location/1-23695436535","https://www.cqc.org.uk/location/1-23695436535")</f>
        <v>https://www.cqc.org.uk/location/1-23695436535</v>
      </c>
      <c r="Q271" s="9" t="s">
        <v>1551</v>
      </c>
      <c r="R271" s="10" t="n">
        <v>46266</v>
      </c>
      <c r="S271" s="10" t="n">
        <v>46267</v>
      </c>
      <c r="T271" s="10" t="n">
        <v>46273</v>
      </c>
      <c r="U271" s="9" t="n">
        <v>31244</v>
      </c>
    </row>
    <row r="272" customFormat="false" ht="64" hidden="false" customHeight="true" outlineLevel="0" collapsed="false">
      <c r="A272" s="7" t="s">
        <v>1552</v>
      </c>
      <c r="B272" s="7" t="s">
        <v>150</v>
      </c>
      <c r="C272" s="7" t="s">
        <v>150</v>
      </c>
      <c r="D272" s="7" t="s">
        <v>153</v>
      </c>
      <c r="E272" s="7" t="s">
        <v>4</v>
      </c>
      <c r="F272" s="7" t="s">
        <v>965</v>
      </c>
      <c r="G272" s="8" t="n">
        <v>44531</v>
      </c>
      <c r="H272" s="7" t="s">
        <v>268</v>
      </c>
      <c r="I272" s="8" t="n">
        <v>44979</v>
      </c>
      <c r="J272" s="7" t="s">
        <v>244</v>
      </c>
      <c r="K272" s="7" t="s">
        <v>252</v>
      </c>
      <c r="L272" s="7" t="s">
        <v>320</v>
      </c>
      <c r="M272" s="7" t="s">
        <v>254</v>
      </c>
      <c r="N272" s="7" t="n">
        <v>3</v>
      </c>
      <c r="O272" s="7" t="n">
        <v>2</v>
      </c>
      <c r="P272" s="7" t="str">
        <f aca="false">HYPERLINK("https://www.cqc.org.uk/location/1-12105708891","https://www.cqc.org.uk/location/1-12105708891")</f>
        <v>https://www.cqc.org.uk/location/1-12105708891</v>
      </c>
      <c r="Q272" s="7" t="s">
        <v>1553</v>
      </c>
      <c r="R272" s="8" t="n">
        <v>46266</v>
      </c>
      <c r="S272" s="8" t="n">
        <v>46267</v>
      </c>
      <c r="T272" s="8" t="n">
        <v>46273</v>
      </c>
      <c r="U272" s="7" t="n">
        <v>6217</v>
      </c>
    </row>
    <row r="273" customFormat="false" ht="64" hidden="false" customHeight="true" outlineLevel="0" collapsed="false">
      <c r="A273" s="9" t="s">
        <v>154</v>
      </c>
      <c r="B273" s="9" t="s">
        <v>150</v>
      </c>
      <c r="C273" s="9" t="s">
        <v>150</v>
      </c>
      <c r="D273" s="9" t="s">
        <v>153</v>
      </c>
      <c r="E273" s="9" t="s">
        <v>4</v>
      </c>
      <c r="F273" s="9" t="s">
        <v>965</v>
      </c>
      <c r="G273" s="10" t="n">
        <v>44992</v>
      </c>
      <c r="H273" s="9"/>
      <c r="I273" s="10"/>
      <c r="J273" s="9"/>
      <c r="K273" s="9" t="s">
        <v>252</v>
      </c>
      <c r="L273" s="9" t="s">
        <v>295</v>
      </c>
      <c r="M273" s="9" t="s">
        <v>254</v>
      </c>
      <c r="N273" s="9" t="n">
        <v>3</v>
      </c>
      <c r="O273" s="9" t="n">
        <v>2</v>
      </c>
      <c r="P273" s="9" t="str">
        <f aca="false">HYPERLINK("https://www.cqc.org.uk/location/1-15152271370","https://www.cqc.org.uk/location/1-15152271370")</f>
        <v>https://www.cqc.org.uk/location/1-15152271370</v>
      </c>
      <c r="Q273" s="9" t="s">
        <v>1553</v>
      </c>
      <c r="R273" s="10" t="n">
        <v>46266</v>
      </c>
      <c r="S273" s="10" t="n">
        <v>46267</v>
      </c>
      <c r="T273" s="10" t="n">
        <v>46273</v>
      </c>
      <c r="U273" s="9" t="n">
        <v>15503</v>
      </c>
    </row>
    <row r="274" customFormat="false" ht="64" hidden="false" customHeight="true" outlineLevel="0" collapsed="false">
      <c r="A274" s="7" t="s">
        <v>1554</v>
      </c>
      <c r="B274" s="7" t="s">
        <v>1555</v>
      </c>
      <c r="C274" s="7" t="s">
        <v>1555</v>
      </c>
      <c r="D274" s="7" t="s">
        <v>1556</v>
      </c>
      <c r="E274" s="7" t="s">
        <v>4</v>
      </c>
      <c r="F274" s="7" t="s">
        <v>1557</v>
      </c>
      <c r="G274" s="8" t="n">
        <v>40829</v>
      </c>
      <c r="H274" s="7" t="s">
        <v>243</v>
      </c>
      <c r="I274" s="8" t="n">
        <v>44345</v>
      </c>
      <c r="J274" s="7" t="s">
        <v>244</v>
      </c>
      <c r="K274" s="7" t="s">
        <v>252</v>
      </c>
      <c r="L274" s="7" t="s">
        <v>464</v>
      </c>
      <c r="M274" s="7" t="s">
        <v>254</v>
      </c>
      <c r="N274" s="7" t="n">
        <v>1</v>
      </c>
      <c r="O274" s="7" t="n">
        <v>1</v>
      </c>
      <c r="P274" s="7" t="str">
        <f aca="false">HYPERLINK("https://www.cqc.org.uk/location/1-297431421","https://www.cqc.org.uk/location/1-297431421")</f>
        <v>https://www.cqc.org.uk/location/1-297431421</v>
      </c>
      <c r="Q274" s="7"/>
      <c r="R274" s="8" t="n">
        <v>46266</v>
      </c>
      <c r="S274" s="8" t="n">
        <v>46267</v>
      </c>
      <c r="T274" s="8" t="n">
        <v>46273</v>
      </c>
      <c r="U274" s="7" t="n">
        <v>38143</v>
      </c>
    </row>
    <row r="275" customFormat="false" ht="64" hidden="false" customHeight="true" outlineLevel="0" collapsed="false">
      <c r="A275" s="9" t="s">
        <v>1558</v>
      </c>
      <c r="B275" s="9" t="s">
        <v>1559</v>
      </c>
      <c r="C275" s="9" t="s">
        <v>1560</v>
      </c>
      <c r="D275" s="9" t="s">
        <v>1561</v>
      </c>
      <c r="E275" s="9" t="s">
        <v>4</v>
      </c>
      <c r="F275" s="9" t="s">
        <v>1562</v>
      </c>
      <c r="G275" s="10" t="n">
        <v>45716</v>
      </c>
      <c r="H275" s="9" t="s">
        <v>268</v>
      </c>
      <c r="I275" s="10" t="n">
        <v>43839</v>
      </c>
      <c r="J275" s="9" t="s">
        <v>254</v>
      </c>
      <c r="K275" s="9" t="s">
        <v>1563</v>
      </c>
      <c r="L275" s="9" t="s">
        <v>539</v>
      </c>
      <c r="M275" s="9" t="s">
        <v>254</v>
      </c>
      <c r="N275" s="9" t="n">
        <v>4</v>
      </c>
      <c r="O275" s="9" t="n">
        <v>1</v>
      </c>
      <c r="P275" s="9" t="str">
        <f aca="false">HYPERLINK("https://www.cqc.org.uk/location/1-21765878572","https://www.cqc.org.uk/location/1-21765878572")</f>
        <v>https://www.cqc.org.uk/location/1-21765878572</v>
      </c>
      <c r="Q275" s="9" t="s">
        <v>1564</v>
      </c>
      <c r="R275" s="10" t="n">
        <v>46266</v>
      </c>
      <c r="S275" s="10" t="n">
        <v>46267</v>
      </c>
      <c r="T275" s="10" t="n">
        <v>46273</v>
      </c>
      <c r="U275" s="9" t="n">
        <v>28030</v>
      </c>
    </row>
    <row r="276" customFormat="false" ht="64" hidden="false" customHeight="true" outlineLevel="0" collapsed="false">
      <c r="A276" s="7" t="s">
        <v>1565</v>
      </c>
      <c r="B276" s="7" t="s">
        <v>1566</v>
      </c>
      <c r="C276" s="7" t="s">
        <v>88</v>
      </c>
      <c r="D276" s="7" t="s">
        <v>92</v>
      </c>
      <c r="E276" s="7" t="s">
        <v>4</v>
      </c>
      <c r="F276" s="7" t="s">
        <v>1567</v>
      </c>
      <c r="G276" s="8" t="n">
        <v>42275</v>
      </c>
      <c r="H276" s="7" t="s">
        <v>268</v>
      </c>
      <c r="I276" s="8" t="n">
        <v>43756</v>
      </c>
      <c r="J276" s="7" t="s">
        <v>244</v>
      </c>
      <c r="K276" s="7" t="s">
        <v>914</v>
      </c>
      <c r="L276" s="7" t="s">
        <v>289</v>
      </c>
      <c r="M276" s="7" t="s">
        <v>244</v>
      </c>
      <c r="N276" s="7" t="n">
        <v>6</v>
      </c>
      <c r="O276" s="7" t="n">
        <v>3</v>
      </c>
      <c r="P276" s="7" t="str">
        <f aca="false">HYPERLINK("https://www.cqc.org.uk/location/1-2228989981","https://www.cqc.org.uk/location/1-2228989981")</f>
        <v>https://www.cqc.org.uk/location/1-2228989981</v>
      </c>
      <c r="Q276" s="7" t="s">
        <v>1568</v>
      </c>
      <c r="R276" s="8" t="n">
        <v>46266</v>
      </c>
      <c r="S276" s="8" t="n">
        <v>46267</v>
      </c>
      <c r="T276" s="8" t="n">
        <v>46273</v>
      </c>
      <c r="U276" s="7" t="n">
        <v>29474</v>
      </c>
    </row>
    <row r="277" customFormat="false" ht="64" hidden="false" customHeight="true" outlineLevel="0" collapsed="false">
      <c r="A277" s="9" t="s">
        <v>1569</v>
      </c>
      <c r="B277" s="9" t="s">
        <v>1570</v>
      </c>
      <c r="C277" s="9" t="s">
        <v>88</v>
      </c>
      <c r="D277" s="9" t="s">
        <v>92</v>
      </c>
      <c r="E277" s="9" t="s">
        <v>4</v>
      </c>
      <c r="F277" s="9" t="s">
        <v>1571</v>
      </c>
      <c r="G277" s="10" t="n">
        <v>42976</v>
      </c>
      <c r="H277" s="9" t="s">
        <v>268</v>
      </c>
      <c r="I277" s="10" t="n">
        <v>43412</v>
      </c>
      <c r="J277" s="9" t="s">
        <v>244</v>
      </c>
      <c r="K277" s="9" t="s">
        <v>914</v>
      </c>
      <c r="L277" s="9" t="s">
        <v>289</v>
      </c>
      <c r="M277" s="9" t="s">
        <v>244</v>
      </c>
      <c r="N277" s="9" t="n">
        <v>6</v>
      </c>
      <c r="O277" s="9" t="n">
        <v>3</v>
      </c>
      <c r="P277" s="9" t="str">
        <f aca="false">HYPERLINK("https://www.cqc.org.uk/location/1-4196632027","https://www.cqc.org.uk/location/1-4196632027")</f>
        <v>https://www.cqc.org.uk/location/1-4196632027</v>
      </c>
      <c r="Q277" s="9" t="s">
        <v>1568</v>
      </c>
      <c r="R277" s="10" t="n">
        <v>46266</v>
      </c>
      <c r="S277" s="10" t="n">
        <v>46267</v>
      </c>
      <c r="T277" s="10" t="n">
        <v>46273</v>
      </c>
      <c r="U277" s="9" t="n">
        <v>41306</v>
      </c>
    </row>
    <row r="278" customFormat="false" ht="64" hidden="false" customHeight="true" outlineLevel="0" collapsed="false">
      <c r="A278" s="7" t="s">
        <v>1572</v>
      </c>
      <c r="B278" s="7" t="s">
        <v>1573</v>
      </c>
      <c r="C278" s="7" t="s">
        <v>1573</v>
      </c>
      <c r="D278" s="7" t="s">
        <v>1574</v>
      </c>
      <c r="E278" s="7" t="s">
        <v>4</v>
      </c>
      <c r="F278" s="7" t="s">
        <v>1575</v>
      </c>
      <c r="G278" s="8" t="n">
        <v>42276</v>
      </c>
      <c r="H278" s="7" t="s">
        <v>243</v>
      </c>
      <c r="I278" s="8" t="n">
        <v>44772</v>
      </c>
      <c r="J278" s="7" t="s">
        <v>244</v>
      </c>
      <c r="K278" s="7" t="s">
        <v>252</v>
      </c>
      <c r="L278" s="7" t="s">
        <v>315</v>
      </c>
      <c r="M278" s="7" t="s">
        <v>254</v>
      </c>
      <c r="N278" s="7" t="n">
        <v>1</v>
      </c>
      <c r="O278" s="7" t="n">
        <v>1</v>
      </c>
      <c r="P278" s="7" t="str">
        <f aca="false">HYPERLINK("https://www.cqc.org.uk/location/1-2233623172","https://www.cqc.org.uk/location/1-2233623172")</f>
        <v>https://www.cqc.org.uk/location/1-2233623172</v>
      </c>
      <c r="Q278" s="7" t="s">
        <v>1576</v>
      </c>
      <c r="R278" s="8" t="n">
        <v>46266</v>
      </c>
      <c r="S278" s="8" t="n">
        <v>46267</v>
      </c>
      <c r="T278" s="8" t="n">
        <v>46273</v>
      </c>
      <c r="U278" s="7" t="n">
        <v>29498</v>
      </c>
    </row>
    <row r="279" customFormat="false" ht="64" hidden="false" customHeight="true" outlineLevel="0" collapsed="false">
      <c r="A279" s="9" t="s">
        <v>1577</v>
      </c>
      <c r="B279" s="9" t="s">
        <v>1578</v>
      </c>
      <c r="C279" s="9" t="s">
        <v>1579</v>
      </c>
      <c r="D279" s="9" t="s">
        <v>1580</v>
      </c>
      <c r="E279" s="9" t="s">
        <v>4</v>
      </c>
      <c r="F279" s="9" t="s">
        <v>1264</v>
      </c>
      <c r="G279" s="10" t="n">
        <v>42254</v>
      </c>
      <c r="H279" s="9" t="s">
        <v>268</v>
      </c>
      <c r="I279" s="10" t="n">
        <v>43635</v>
      </c>
      <c r="J279" s="9" t="s">
        <v>244</v>
      </c>
      <c r="K279" s="9" t="s">
        <v>245</v>
      </c>
      <c r="L279" s="9" t="s">
        <v>848</v>
      </c>
      <c r="M279" s="9" t="s">
        <v>244</v>
      </c>
      <c r="N279" s="9" t="n">
        <v>3</v>
      </c>
      <c r="O279" s="9" t="n">
        <v>1</v>
      </c>
      <c r="P279" s="9" t="str">
        <f aca="false">HYPERLINK("https://www.cqc.org.uk/location/1-2179872716","https://www.cqc.org.uk/location/1-2179872716")</f>
        <v>https://www.cqc.org.uk/location/1-2179872716</v>
      </c>
      <c r="Q279" s="9" t="s">
        <v>1581</v>
      </c>
      <c r="R279" s="10" t="n">
        <v>46266</v>
      </c>
      <c r="S279" s="10" t="n">
        <v>46267</v>
      </c>
      <c r="T279" s="10" t="n">
        <v>46273</v>
      </c>
      <c r="U279" s="9" t="n">
        <v>28066</v>
      </c>
    </row>
    <row r="280" customFormat="false" ht="64" hidden="false" customHeight="true" outlineLevel="0" collapsed="false">
      <c r="A280" s="7" t="s">
        <v>1582</v>
      </c>
      <c r="B280" s="7" t="s">
        <v>1583</v>
      </c>
      <c r="C280" s="7" t="s">
        <v>1584</v>
      </c>
      <c r="D280" s="7" t="s">
        <v>1585</v>
      </c>
      <c r="E280" s="7" t="s">
        <v>4</v>
      </c>
      <c r="F280" s="7" t="s">
        <v>284</v>
      </c>
      <c r="G280" s="8" t="n">
        <v>44673</v>
      </c>
      <c r="H280" s="7" t="s">
        <v>243</v>
      </c>
      <c r="I280" s="8" t="n">
        <v>45945</v>
      </c>
      <c r="J280" s="7" t="s">
        <v>244</v>
      </c>
      <c r="K280" s="7" t="s">
        <v>245</v>
      </c>
      <c r="L280" s="7" t="s">
        <v>386</v>
      </c>
      <c r="M280" s="7" t="s">
        <v>244</v>
      </c>
      <c r="N280" s="7" t="n">
        <v>1</v>
      </c>
      <c r="O280" s="7" t="n">
        <v>1</v>
      </c>
      <c r="P280" s="7" t="str">
        <f aca="false">HYPERLINK("https://www.cqc.org.uk/location/1-12962342535","https://www.cqc.org.uk/location/1-12962342535")</f>
        <v>https://www.cqc.org.uk/location/1-12962342535</v>
      </c>
      <c r="Q280" s="7" t="s">
        <v>1586</v>
      </c>
      <c r="R280" s="8" t="n">
        <v>46266</v>
      </c>
      <c r="S280" s="8" t="n">
        <v>46267</v>
      </c>
      <c r="T280" s="8" t="n">
        <v>46273</v>
      </c>
      <c r="U280" s="7" t="n">
        <v>9987</v>
      </c>
    </row>
    <row r="281" customFormat="false" ht="64" hidden="false" customHeight="true" outlineLevel="0" collapsed="false">
      <c r="A281" s="9" t="s">
        <v>1587</v>
      </c>
      <c r="B281" s="9" t="s">
        <v>1588</v>
      </c>
      <c r="C281" s="9" t="s">
        <v>1588</v>
      </c>
      <c r="D281" s="9" t="s">
        <v>1589</v>
      </c>
      <c r="E281" s="9" t="s">
        <v>4</v>
      </c>
      <c r="F281" s="9" t="s">
        <v>330</v>
      </c>
      <c r="G281" s="10" t="n">
        <v>45474</v>
      </c>
      <c r="H281" s="9"/>
      <c r="I281" s="10"/>
      <c r="J281" s="9"/>
      <c r="K281" s="9" t="s">
        <v>252</v>
      </c>
      <c r="L281" s="9" t="s">
        <v>1503</v>
      </c>
      <c r="M281" s="9" t="s">
        <v>254</v>
      </c>
      <c r="N281" s="9" t="n">
        <v>1</v>
      </c>
      <c r="O281" s="9" t="n">
        <v>1</v>
      </c>
      <c r="P281" s="9" t="str">
        <f aca="false">HYPERLINK("https://www.cqc.org.uk/location/1-19425129884","https://www.cqc.org.uk/location/1-19425129884")</f>
        <v>https://www.cqc.org.uk/location/1-19425129884</v>
      </c>
      <c r="Q281" s="9"/>
      <c r="R281" s="10" t="n">
        <v>46266</v>
      </c>
      <c r="S281" s="10" t="n">
        <v>46267</v>
      </c>
      <c r="T281" s="10" t="n">
        <v>46273</v>
      </c>
      <c r="U281" s="9" t="n">
        <v>22286</v>
      </c>
    </row>
    <row r="282" customFormat="false" ht="64" hidden="false" customHeight="true" outlineLevel="0" collapsed="false">
      <c r="A282" s="7" t="s">
        <v>1590</v>
      </c>
      <c r="B282" s="7" t="s">
        <v>1591</v>
      </c>
      <c r="C282" s="7" t="s">
        <v>1592</v>
      </c>
      <c r="D282" s="7" t="s">
        <v>1593</v>
      </c>
      <c r="E282" s="7" t="s">
        <v>4</v>
      </c>
      <c r="F282" s="7" t="s">
        <v>737</v>
      </c>
      <c r="G282" s="8" t="n">
        <v>41992</v>
      </c>
      <c r="H282" s="7" t="s">
        <v>268</v>
      </c>
      <c r="I282" s="8" t="n">
        <v>46251</v>
      </c>
      <c r="J282" s="7" t="s">
        <v>244</v>
      </c>
      <c r="K282" s="7" t="s">
        <v>245</v>
      </c>
      <c r="L282" s="7" t="s">
        <v>344</v>
      </c>
      <c r="M282" s="7" t="s">
        <v>244</v>
      </c>
      <c r="N282" s="7" t="n">
        <v>1</v>
      </c>
      <c r="O282" s="7" t="n">
        <v>1</v>
      </c>
      <c r="P282" s="7" t="str">
        <f aca="false">HYPERLINK("https://www.cqc.org.uk/location/1-1839470431","https://www.cqc.org.uk/location/1-1839470431")</f>
        <v>https://www.cqc.org.uk/location/1-1839470431</v>
      </c>
      <c r="Q282" s="7"/>
      <c r="R282" s="8" t="n">
        <v>46266</v>
      </c>
      <c r="S282" s="8" t="n">
        <v>46267</v>
      </c>
      <c r="T282" s="8" t="n">
        <v>46273</v>
      </c>
      <c r="U282" s="7" t="n">
        <v>19971</v>
      </c>
    </row>
    <row r="283" customFormat="false" ht="64" hidden="false" customHeight="true" outlineLevel="0" collapsed="false">
      <c r="A283" s="9" t="s">
        <v>1594</v>
      </c>
      <c r="B283" s="9" t="s">
        <v>1595</v>
      </c>
      <c r="C283" s="9" t="s">
        <v>1596</v>
      </c>
      <c r="D283" s="9" t="s">
        <v>1597</v>
      </c>
      <c r="E283" s="9" t="s">
        <v>4</v>
      </c>
      <c r="F283" s="9" t="s">
        <v>568</v>
      </c>
      <c r="G283" s="10" t="n">
        <v>44435</v>
      </c>
      <c r="H283" s="9" t="s">
        <v>268</v>
      </c>
      <c r="I283" s="10" t="n">
        <v>45090</v>
      </c>
      <c r="J283" s="9" t="s">
        <v>244</v>
      </c>
      <c r="K283" s="9" t="s">
        <v>252</v>
      </c>
      <c r="L283" s="9" t="s">
        <v>289</v>
      </c>
      <c r="M283" s="9" t="s">
        <v>254</v>
      </c>
      <c r="N283" s="9" t="n">
        <v>2</v>
      </c>
      <c r="O283" s="9" t="n">
        <v>1</v>
      </c>
      <c r="P283" s="9" t="str">
        <f aca="false">HYPERLINK("https://www.cqc.org.uk/location/1-11505043770","https://www.cqc.org.uk/location/1-11505043770")</f>
        <v>https://www.cqc.org.uk/location/1-11505043770</v>
      </c>
      <c r="Q283" s="9"/>
      <c r="R283" s="10" t="n">
        <v>46266</v>
      </c>
      <c r="S283" s="10" t="n">
        <v>46267</v>
      </c>
      <c r="T283" s="10" t="n">
        <v>46273</v>
      </c>
      <c r="U283" s="9" t="n">
        <v>3539</v>
      </c>
    </row>
    <row r="284" customFormat="false" ht="64" hidden="false" customHeight="true" outlineLevel="0" collapsed="false">
      <c r="A284" s="7" t="s">
        <v>1598</v>
      </c>
      <c r="B284" s="7" t="s">
        <v>1599</v>
      </c>
      <c r="C284" s="7" t="s">
        <v>1599</v>
      </c>
      <c r="D284" s="7" t="s">
        <v>1600</v>
      </c>
      <c r="E284" s="7" t="s">
        <v>4</v>
      </c>
      <c r="F284" s="7" t="s">
        <v>1601</v>
      </c>
      <c r="G284" s="8" t="n">
        <v>45231</v>
      </c>
      <c r="H284" s="7"/>
      <c r="I284" s="8"/>
      <c r="J284" s="7"/>
      <c r="K284" s="7" t="s">
        <v>245</v>
      </c>
      <c r="L284" s="7" t="s">
        <v>1602</v>
      </c>
      <c r="M284" s="7" t="s">
        <v>244</v>
      </c>
      <c r="N284" s="7" t="n">
        <v>1</v>
      </c>
      <c r="O284" s="7" t="n">
        <v>1</v>
      </c>
      <c r="P284" s="7" t="str">
        <f aca="false">HYPERLINK("https://www.cqc.org.uk/location/1-17835712411","https://www.cqc.org.uk/location/1-17835712411")</f>
        <v>https://www.cqc.org.uk/location/1-17835712411</v>
      </c>
      <c r="Q284" s="7"/>
      <c r="R284" s="8" t="n">
        <v>46266</v>
      </c>
      <c r="S284" s="8" t="n">
        <v>46267</v>
      </c>
      <c r="T284" s="8" t="n">
        <v>46273</v>
      </c>
      <c r="U284" s="7" t="n">
        <v>18952</v>
      </c>
    </row>
    <row r="285" customFormat="false" ht="64" hidden="false" customHeight="true" outlineLevel="0" collapsed="false">
      <c r="A285" s="9" t="s">
        <v>1603</v>
      </c>
      <c r="B285" s="9" t="s">
        <v>1604</v>
      </c>
      <c r="C285" s="9" t="s">
        <v>1605</v>
      </c>
      <c r="D285" s="9" t="s">
        <v>1606</v>
      </c>
      <c r="E285" s="9" t="s">
        <v>4</v>
      </c>
      <c r="F285" s="9" t="s">
        <v>1607</v>
      </c>
      <c r="G285" s="10" t="n">
        <v>42347</v>
      </c>
      <c r="H285" s="9" t="s">
        <v>268</v>
      </c>
      <c r="I285" s="10" t="n">
        <v>43643</v>
      </c>
      <c r="J285" s="9" t="s">
        <v>244</v>
      </c>
      <c r="K285" s="9" t="s">
        <v>252</v>
      </c>
      <c r="L285" s="9" t="s">
        <v>386</v>
      </c>
      <c r="M285" s="9" t="s">
        <v>254</v>
      </c>
      <c r="N285" s="9" t="n">
        <v>1</v>
      </c>
      <c r="O285" s="9" t="n">
        <v>1</v>
      </c>
      <c r="P285" s="9" t="str">
        <f aca="false">HYPERLINK("https://www.cqc.org.uk/location/1-2335142131","https://www.cqc.org.uk/location/1-2335142131")</f>
        <v>https://www.cqc.org.uk/location/1-2335142131</v>
      </c>
      <c r="Q285" s="9" t="s">
        <v>1608</v>
      </c>
      <c r="R285" s="10" t="n">
        <v>46266</v>
      </c>
      <c r="S285" s="10" t="n">
        <v>46267</v>
      </c>
      <c r="T285" s="10" t="n">
        <v>46273</v>
      </c>
      <c r="U285" s="9" t="n">
        <v>30773</v>
      </c>
    </row>
    <row r="286" customFormat="false" ht="64" hidden="false" customHeight="true" outlineLevel="0" collapsed="false">
      <c r="A286" s="7" t="s">
        <v>1609</v>
      </c>
      <c r="B286" s="7" t="s">
        <v>1610</v>
      </c>
      <c r="C286" s="7" t="s">
        <v>1610</v>
      </c>
      <c r="D286" s="7" t="s">
        <v>1611</v>
      </c>
      <c r="E286" s="7" t="s">
        <v>4</v>
      </c>
      <c r="F286" s="7" t="s">
        <v>1612</v>
      </c>
      <c r="G286" s="8" t="n">
        <v>42422</v>
      </c>
      <c r="H286" s="7" t="s">
        <v>268</v>
      </c>
      <c r="I286" s="8" t="n">
        <v>43620</v>
      </c>
      <c r="J286" s="7" t="s">
        <v>244</v>
      </c>
      <c r="K286" s="7" t="s">
        <v>245</v>
      </c>
      <c r="L286" s="7" t="s">
        <v>471</v>
      </c>
      <c r="M286" s="7" t="s">
        <v>244</v>
      </c>
      <c r="N286" s="7" t="n">
        <v>1</v>
      </c>
      <c r="O286" s="7" t="n">
        <v>1</v>
      </c>
      <c r="P286" s="7" t="str">
        <f aca="false">HYPERLINK("https://www.cqc.org.uk/location/1-2458564564","https://www.cqc.org.uk/location/1-2458564564")</f>
        <v>https://www.cqc.org.uk/location/1-2458564564</v>
      </c>
      <c r="Q286" s="7"/>
      <c r="R286" s="8" t="n">
        <v>46266</v>
      </c>
      <c r="S286" s="8" t="n">
        <v>46267</v>
      </c>
      <c r="T286" s="8" t="n">
        <v>46273</v>
      </c>
      <c r="U286" s="7" t="n">
        <v>32413</v>
      </c>
    </row>
    <row r="287" customFormat="false" ht="64" hidden="false" customHeight="true" outlineLevel="0" collapsed="false">
      <c r="A287" s="9" t="s">
        <v>1613</v>
      </c>
      <c r="B287" s="9" t="s">
        <v>1614</v>
      </c>
      <c r="C287" s="9" t="s">
        <v>1614</v>
      </c>
      <c r="D287" s="9" t="s">
        <v>1615</v>
      </c>
      <c r="E287" s="9" t="s">
        <v>4</v>
      </c>
      <c r="F287" s="9" t="s">
        <v>1616</v>
      </c>
      <c r="G287" s="10" t="n">
        <v>40567</v>
      </c>
      <c r="H287" s="9" t="s">
        <v>268</v>
      </c>
      <c r="I287" s="10" t="n">
        <v>43666</v>
      </c>
      <c r="J287" s="9" t="s">
        <v>244</v>
      </c>
      <c r="K287" s="9" t="s">
        <v>1617</v>
      </c>
      <c r="L287" s="9" t="s">
        <v>1318</v>
      </c>
      <c r="M287" s="9" t="s">
        <v>254</v>
      </c>
      <c r="N287" s="9" t="n">
        <v>1</v>
      </c>
      <c r="O287" s="9" t="n">
        <v>1</v>
      </c>
      <c r="P287" s="9" t="str">
        <f aca="false">HYPERLINK("https://www.cqc.org.uk/location/1-123591876","https://www.cqc.org.uk/location/1-123591876")</f>
        <v>https://www.cqc.org.uk/location/1-123591876</v>
      </c>
      <c r="Q287" s="9" t="s">
        <v>1618</v>
      </c>
      <c r="R287" s="10" t="n">
        <v>46266</v>
      </c>
      <c r="S287" s="10" t="n">
        <v>46267</v>
      </c>
      <c r="T287" s="10" t="n">
        <v>46273</v>
      </c>
      <c r="U287" s="9" t="n">
        <v>7310</v>
      </c>
    </row>
    <row r="288" customFormat="false" ht="64" hidden="false" customHeight="true" outlineLevel="0" collapsed="false">
      <c r="A288" s="7" t="s">
        <v>1619</v>
      </c>
      <c r="B288" s="7" t="s">
        <v>1620</v>
      </c>
      <c r="C288" s="7" t="s">
        <v>1621</v>
      </c>
      <c r="D288" s="7" t="s">
        <v>1622</v>
      </c>
      <c r="E288" s="7" t="s">
        <v>4</v>
      </c>
      <c r="F288" s="7" t="s">
        <v>1623</v>
      </c>
      <c r="G288" s="8" t="n">
        <v>45506</v>
      </c>
      <c r="H288" s="7"/>
      <c r="I288" s="8"/>
      <c r="J288" s="7"/>
      <c r="K288" s="7" t="s">
        <v>252</v>
      </c>
      <c r="L288" s="7" t="s">
        <v>451</v>
      </c>
      <c r="M288" s="7" t="s">
        <v>254</v>
      </c>
      <c r="N288" s="7" t="n">
        <v>1</v>
      </c>
      <c r="O288" s="7" t="n">
        <v>1</v>
      </c>
      <c r="P288" s="7" t="str">
        <f aca="false">HYPERLINK("https://www.cqc.org.uk/location/1-19800633526","https://www.cqc.org.uk/location/1-19800633526")</f>
        <v>https://www.cqc.org.uk/location/1-19800633526</v>
      </c>
      <c r="Q288" s="7" t="s">
        <v>1624</v>
      </c>
      <c r="R288" s="8" t="n">
        <v>46266</v>
      </c>
      <c r="S288" s="8" t="n">
        <v>46267</v>
      </c>
      <c r="T288" s="8" t="n">
        <v>46273</v>
      </c>
      <c r="U288" s="7" t="n">
        <v>23561</v>
      </c>
    </row>
    <row r="289" customFormat="false" ht="64" hidden="false" customHeight="true" outlineLevel="0" collapsed="false">
      <c r="A289" s="9" t="s">
        <v>1625</v>
      </c>
      <c r="B289" s="9" t="s">
        <v>1626</v>
      </c>
      <c r="C289" s="9" t="s">
        <v>1626</v>
      </c>
      <c r="D289" s="9" t="s">
        <v>1627</v>
      </c>
      <c r="E289" s="9" t="s">
        <v>4</v>
      </c>
      <c r="F289" s="9" t="s">
        <v>1628</v>
      </c>
      <c r="G289" s="10" t="n">
        <v>45253</v>
      </c>
      <c r="H289" s="9"/>
      <c r="I289" s="10"/>
      <c r="J289" s="9"/>
      <c r="K289" s="9" t="s">
        <v>245</v>
      </c>
      <c r="L289" s="9" t="s">
        <v>848</v>
      </c>
      <c r="M289" s="9" t="s">
        <v>244</v>
      </c>
      <c r="N289" s="9" t="n">
        <v>1</v>
      </c>
      <c r="O289" s="9" t="n">
        <v>1</v>
      </c>
      <c r="P289" s="9" t="str">
        <f aca="false">HYPERLINK("https://www.cqc.org.uk/location/1-18139078014","https://www.cqc.org.uk/location/1-18139078014")</f>
        <v>https://www.cqc.org.uk/location/1-18139078014</v>
      </c>
      <c r="Q289" s="9"/>
      <c r="R289" s="10" t="n">
        <v>46266</v>
      </c>
      <c r="S289" s="10" t="n">
        <v>46267</v>
      </c>
      <c r="T289" s="10" t="n">
        <v>46273</v>
      </c>
      <c r="U289" s="9" t="n">
        <v>19424</v>
      </c>
    </row>
    <row r="290" customFormat="false" ht="64" hidden="false" customHeight="true" outlineLevel="0" collapsed="false">
      <c r="A290" s="7" t="s">
        <v>1629</v>
      </c>
      <c r="B290" s="7" t="s">
        <v>1630</v>
      </c>
      <c r="C290" s="7" t="s">
        <v>1631</v>
      </c>
      <c r="D290" s="7" t="s">
        <v>1632</v>
      </c>
      <c r="E290" s="7" t="s">
        <v>4</v>
      </c>
      <c r="F290" s="7" t="s">
        <v>1633</v>
      </c>
      <c r="G290" s="8" t="n">
        <v>40756</v>
      </c>
      <c r="H290" s="7" t="s">
        <v>268</v>
      </c>
      <c r="I290" s="8" t="n">
        <v>43664</v>
      </c>
      <c r="J290" s="7" t="s">
        <v>244</v>
      </c>
      <c r="K290" s="7" t="s">
        <v>245</v>
      </c>
      <c r="L290" s="7" t="s">
        <v>543</v>
      </c>
      <c r="M290" s="7" t="s">
        <v>244</v>
      </c>
      <c r="N290" s="7" t="n">
        <v>1</v>
      </c>
      <c r="O290" s="7" t="n">
        <v>1</v>
      </c>
      <c r="P290" s="7" t="str">
        <f aca="false">HYPERLINK("https://www.cqc.org.uk/location/1-288200691","https://www.cqc.org.uk/location/1-288200691")</f>
        <v>https://www.cqc.org.uk/location/1-288200691</v>
      </c>
      <c r="Q290" s="7" t="s">
        <v>1634</v>
      </c>
      <c r="R290" s="8" t="n">
        <v>46266</v>
      </c>
      <c r="S290" s="8" t="n">
        <v>46267</v>
      </c>
      <c r="T290" s="8" t="n">
        <v>46273</v>
      </c>
      <c r="U290" s="7" t="n">
        <v>37463</v>
      </c>
    </row>
    <row r="291" customFormat="false" ht="64" hidden="false" customHeight="true" outlineLevel="0" collapsed="false">
      <c r="A291" s="9" t="s">
        <v>1635</v>
      </c>
      <c r="B291" s="9" t="s">
        <v>1636</v>
      </c>
      <c r="C291" s="9" t="s">
        <v>1636</v>
      </c>
      <c r="D291" s="9" t="s">
        <v>1637</v>
      </c>
      <c r="E291" s="9" t="s">
        <v>4</v>
      </c>
      <c r="F291" s="9" t="s">
        <v>1638</v>
      </c>
      <c r="G291" s="10" t="n">
        <v>43000</v>
      </c>
      <c r="H291" s="9" t="s">
        <v>268</v>
      </c>
      <c r="I291" s="10" t="n">
        <v>45353</v>
      </c>
      <c r="J291" s="9" t="s">
        <v>244</v>
      </c>
      <c r="K291" s="9" t="s">
        <v>252</v>
      </c>
      <c r="L291" s="9" t="s">
        <v>1001</v>
      </c>
      <c r="M291" s="9" t="s">
        <v>254</v>
      </c>
      <c r="N291" s="9" t="n">
        <v>1</v>
      </c>
      <c r="O291" s="9" t="n">
        <v>1</v>
      </c>
      <c r="P291" s="9" t="str">
        <f aca="false">HYPERLINK("https://www.cqc.org.uk/location/1-4085376154","https://www.cqc.org.uk/location/1-4085376154")</f>
        <v>https://www.cqc.org.uk/location/1-4085376154</v>
      </c>
      <c r="Q291" s="9" t="s">
        <v>1639</v>
      </c>
      <c r="R291" s="10" t="n">
        <v>46266</v>
      </c>
      <c r="S291" s="10" t="n">
        <v>46267</v>
      </c>
      <c r="T291" s="10" t="n">
        <v>46273</v>
      </c>
      <c r="U291" s="9" t="n">
        <v>41018</v>
      </c>
    </row>
    <row r="292" customFormat="false" ht="64" hidden="false" customHeight="true" outlineLevel="0" collapsed="false">
      <c r="A292" s="7" t="s">
        <v>1640</v>
      </c>
      <c r="B292" s="7" t="s">
        <v>1641</v>
      </c>
      <c r="C292" s="7" t="s">
        <v>1642</v>
      </c>
      <c r="D292" s="7" t="s">
        <v>1643</v>
      </c>
      <c r="E292" s="7" t="s">
        <v>4</v>
      </c>
      <c r="F292" s="7" t="s">
        <v>616</v>
      </c>
      <c r="G292" s="8" t="n">
        <v>43839</v>
      </c>
      <c r="H292" s="7" t="s">
        <v>268</v>
      </c>
      <c r="I292" s="8" t="n">
        <v>44470</v>
      </c>
      <c r="J292" s="7" t="s">
        <v>244</v>
      </c>
      <c r="K292" s="7" t="s">
        <v>245</v>
      </c>
      <c r="L292" s="7" t="s">
        <v>1644</v>
      </c>
      <c r="M292" s="7" t="s">
        <v>244</v>
      </c>
      <c r="N292" s="7" t="n">
        <v>1</v>
      </c>
      <c r="O292" s="7" t="n">
        <v>1</v>
      </c>
      <c r="P292" s="7" t="str">
        <f aca="false">HYPERLINK("https://www.cqc.org.uk/location/1-8129408696","https://www.cqc.org.uk/location/1-8129408696")</f>
        <v>https://www.cqc.org.uk/location/1-8129408696</v>
      </c>
      <c r="Q292" s="7" t="s">
        <v>1645</v>
      </c>
      <c r="R292" s="8" t="n">
        <v>46266</v>
      </c>
      <c r="S292" s="8" t="n">
        <v>46267</v>
      </c>
      <c r="T292" s="8" t="n">
        <v>46273</v>
      </c>
      <c r="U292" s="7" t="n">
        <v>52566</v>
      </c>
    </row>
    <row r="293" customFormat="false" ht="64" hidden="false" customHeight="true" outlineLevel="0" collapsed="false">
      <c r="A293" s="9" t="s">
        <v>1646</v>
      </c>
      <c r="B293" s="9" t="s">
        <v>1647</v>
      </c>
      <c r="C293" s="9" t="s">
        <v>1648</v>
      </c>
      <c r="D293" s="9" t="s">
        <v>1649</v>
      </c>
      <c r="E293" s="9" t="s">
        <v>4</v>
      </c>
      <c r="F293" s="9" t="s">
        <v>616</v>
      </c>
      <c r="G293" s="10" t="n">
        <v>41299</v>
      </c>
      <c r="H293" s="9" t="s">
        <v>268</v>
      </c>
      <c r="I293" s="10" t="n">
        <v>43596</v>
      </c>
      <c r="J293" s="9" t="s">
        <v>244</v>
      </c>
      <c r="K293" s="9" t="s">
        <v>245</v>
      </c>
      <c r="L293" s="9" t="s">
        <v>379</v>
      </c>
      <c r="M293" s="9" t="s">
        <v>244</v>
      </c>
      <c r="N293" s="9" t="n">
        <v>1</v>
      </c>
      <c r="O293" s="9" t="n">
        <v>1</v>
      </c>
      <c r="P293" s="9" t="str">
        <f aca="false">HYPERLINK("https://www.cqc.org.uk/location/1-592021561","https://www.cqc.org.uk/location/1-592021561")</f>
        <v>https://www.cqc.org.uk/location/1-592021561</v>
      </c>
      <c r="Q293" s="9"/>
      <c r="R293" s="10" t="n">
        <v>46266</v>
      </c>
      <c r="S293" s="10" t="n">
        <v>46267</v>
      </c>
      <c r="T293" s="10" t="n">
        <v>46273</v>
      </c>
      <c r="U293" s="9" t="n">
        <v>48948</v>
      </c>
    </row>
    <row r="294" customFormat="false" ht="64" hidden="false" customHeight="true" outlineLevel="0" collapsed="false">
      <c r="A294" s="7" t="s">
        <v>1650</v>
      </c>
      <c r="B294" s="7" t="s">
        <v>1651</v>
      </c>
      <c r="C294" s="7" t="s">
        <v>1652</v>
      </c>
      <c r="D294" s="7" t="s">
        <v>1653</v>
      </c>
      <c r="E294" s="7" t="s">
        <v>4</v>
      </c>
      <c r="F294" s="7" t="s">
        <v>925</v>
      </c>
      <c r="G294" s="8" t="n">
        <v>44176</v>
      </c>
      <c r="H294" s="7" t="s">
        <v>268</v>
      </c>
      <c r="I294" s="8" t="n">
        <v>44660</v>
      </c>
      <c r="J294" s="7" t="s">
        <v>244</v>
      </c>
      <c r="K294" s="7" t="s">
        <v>252</v>
      </c>
      <c r="L294" s="7" t="s">
        <v>887</v>
      </c>
      <c r="M294" s="7" t="s">
        <v>254</v>
      </c>
      <c r="N294" s="7" t="n">
        <v>1</v>
      </c>
      <c r="O294" s="7" t="n">
        <v>1</v>
      </c>
      <c r="P294" s="7" t="str">
        <f aca="false">HYPERLINK("https://www.cqc.org.uk/location/1-9697807058","https://www.cqc.org.uk/location/1-9697807058")</f>
        <v>https://www.cqc.org.uk/location/1-9697807058</v>
      </c>
      <c r="Q294" s="7" t="s">
        <v>1654</v>
      </c>
      <c r="R294" s="8" t="n">
        <v>46266</v>
      </c>
      <c r="S294" s="8" t="n">
        <v>46267</v>
      </c>
      <c r="T294" s="8" t="n">
        <v>46273</v>
      </c>
      <c r="U294" s="7" t="n">
        <v>54812</v>
      </c>
    </row>
    <row r="295" customFormat="false" ht="64" hidden="false" customHeight="true" outlineLevel="0" collapsed="false">
      <c r="A295" s="9" t="s">
        <v>1655</v>
      </c>
      <c r="B295" s="9" t="s">
        <v>1656</v>
      </c>
      <c r="C295" s="9" t="s">
        <v>1656</v>
      </c>
      <c r="D295" s="9" t="s">
        <v>1657</v>
      </c>
      <c r="E295" s="9" t="s">
        <v>4</v>
      </c>
      <c r="F295" s="9" t="s">
        <v>1544</v>
      </c>
      <c r="G295" s="10" t="n">
        <v>41388</v>
      </c>
      <c r="H295" s="9" t="s">
        <v>268</v>
      </c>
      <c r="I295" s="10" t="n">
        <v>43585</v>
      </c>
      <c r="J295" s="9" t="s">
        <v>244</v>
      </c>
      <c r="K295" s="9" t="s">
        <v>252</v>
      </c>
      <c r="L295" s="9" t="s">
        <v>1658</v>
      </c>
      <c r="M295" s="9" t="s">
        <v>254</v>
      </c>
      <c r="N295" s="9" t="n">
        <v>1</v>
      </c>
      <c r="O295" s="9" t="n">
        <v>1</v>
      </c>
      <c r="P295" s="9" t="str">
        <f aca="false">HYPERLINK("https://www.cqc.org.uk/location/1-674490404","https://www.cqc.org.uk/location/1-674490404")</f>
        <v>https://www.cqc.org.uk/location/1-674490404</v>
      </c>
      <c r="Q295" s="9" t="s">
        <v>1659</v>
      </c>
      <c r="R295" s="10" t="n">
        <v>46266</v>
      </c>
      <c r="S295" s="10" t="n">
        <v>46267</v>
      </c>
      <c r="T295" s="10" t="n">
        <v>46273</v>
      </c>
      <c r="U295" s="9" t="n">
        <v>50519</v>
      </c>
    </row>
    <row r="296" customFormat="false" ht="64" hidden="false" customHeight="true" outlineLevel="0" collapsed="false">
      <c r="A296" s="7" t="s">
        <v>1660</v>
      </c>
      <c r="B296" s="7" t="s">
        <v>1661</v>
      </c>
      <c r="C296" s="7" t="s">
        <v>1662</v>
      </c>
      <c r="D296" s="7" t="s">
        <v>1663</v>
      </c>
      <c r="E296" s="7" t="s">
        <v>4</v>
      </c>
      <c r="F296" s="7" t="s">
        <v>1664</v>
      </c>
      <c r="G296" s="8" t="n">
        <v>45559</v>
      </c>
      <c r="H296" s="7"/>
      <c r="I296" s="8"/>
      <c r="J296" s="7"/>
      <c r="K296" s="7" t="s">
        <v>245</v>
      </c>
      <c r="L296" s="7" t="s">
        <v>1665</v>
      </c>
      <c r="M296" s="7" t="s">
        <v>244</v>
      </c>
      <c r="N296" s="7" t="n">
        <v>1</v>
      </c>
      <c r="O296" s="7" t="n">
        <v>1</v>
      </c>
      <c r="P296" s="7" t="str">
        <f aca="false">HYPERLINK("https://www.cqc.org.uk/location/1-19883402624","https://www.cqc.org.uk/location/1-19883402624")</f>
        <v>https://www.cqc.org.uk/location/1-19883402624</v>
      </c>
      <c r="Q296" s="7" t="s">
        <v>1666</v>
      </c>
      <c r="R296" s="8" t="n">
        <v>46266</v>
      </c>
      <c r="S296" s="8" t="n">
        <v>46267</v>
      </c>
      <c r="T296" s="8" t="n">
        <v>46273</v>
      </c>
      <c r="U296" s="7" t="n">
        <v>24018</v>
      </c>
    </row>
    <row r="297" customFormat="false" ht="64" hidden="false" customHeight="true" outlineLevel="0" collapsed="false">
      <c r="A297" s="9" t="s">
        <v>1667</v>
      </c>
      <c r="B297" s="9" t="s">
        <v>1668</v>
      </c>
      <c r="C297" s="9" t="s">
        <v>1669</v>
      </c>
      <c r="D297" s="9" t="s">
        <v>1670</v>
      </c>
      <c r="E297" s="9" t="s">
        <v>4</v>
      </c>
      <c r="F297" s="9" t="s">
        <v>1671</v>
      </c>
      <c r="G297" s="10" t="n">
        <v>41254</v>
      </c>
      <c r="H297" s="9" t="s">
        <v>268</v>
      </c>
      <c r="I297" s="10" t="n">
        <v>43755</v>
      </c>
      <c r="J297" s="9" t="s">
        <v>244</v>
      </c>
      <c r="K297" s="9" t="s">
        <v>252</v>
      </c>
      <c r="L297" s="9" t="s">
        <v>386</v>
      </c>
      <c r="M297" s="9" t="s">
        <v>254</v>
      </c>
      <c r="N297" s="9" t="n">
        <v>1</v>
      </c>
      <c r="O297" s="9" t="n">
        <v>1</v>
      </c>
      <c r="P297" s="9" t="str">
        <f aca="false">HYPERLINK("https://www.cqc.org.uk/location/1-548983403","https://www.cqc.org.uk/location/1-548983403")</f>
        <v>https://www.cqc.org.uk/location/1-548983403</v>
      </c>
      <c r="Q297" s="9" t="s">
        <v>1672</v>
      </c>
      <c r="R297" s="10" t="n">
        <v>46266</v>
      </c>
      <c r="S297" s="10" t="n">
        <v>46267</v>
      </c>
      <c r="T297" s="10" t="n">
        <v>46273</v>
      </c>
      <c r="U297" s="9" t="n">
        <v>45951</v>
      </c>
    </row>
    <row r="298" customFormat="false" ht="64" hidden="false" customHeight="true" outlineLevel="0" collapsed="false">
      <c r="A298" s="7" t="s">
        <v>1673</v>
      </c>
      <c r="B298" s="7" t="s">
        <v>1674</v>
      </c>
      <c r="C298" s="7" t="s">
        <v>1675</v>
      </c>
      <c r="D298" s="7" t="s">
        <v>1676</v>
      </c>
      <c r="E298" s="7" t="s">
        <v>4</v>
      </c>
      <c r="F298" s="7" t="s">
        <v>1671</v>
      </c>
      <c r="G298" s="8" t="n">
        <v>44461</v>
      </c>
      <c r="H298" s="7" t="s">
        <v>260</v>
      </c>
      <c r="I298" s="8"/>
      <c r="J298" s="7" t="s">
        <v>244</v>
      </c>
      <c r="K298" s="7" t="s">
        <v>252</v>
      </c>
      <c r="L298" s="7" t="s">
        <v>386</v>
      </c>
      <c r="M298" s="7" t="s">
        <v>254</v>
      </c>
      <c r="N298" s="7" t="n">
        <v>1</v>
      </c>
      <c r="O298" s="7" t="n">
        <v>1</v>
      </c>
      <c r="P298" s="7" t="str">
        <f aca="false">HYPERLINK("https://www.cqc.org.uk/location/1-11687782348","https://www.cqc.org.uk/location/1-11687782348")</f>
        <v>https://www.cqc.org.uk/location/1-11687782348</v>
      </c>
      <c r="Q298" s="7"/>
      <c r="R298" s="8" t="n">
        <v>46266</v>
      </c>
      <c r="S298" s="8" t="n">
        <v>46267</v>
      </c>
      <c r="T298" s="8" t="n">
        <v>46273</v>
      </c>
      <c r="U298" s="7" t="n">
        <v>4175</v>
      </c>
    </row>
    <row r="299" customFormat="false" ht="64" hidden="false" customHeight="true" outlineLevel="0" collapsed="false">
      <c r="A299" s="9" t="s">
        <v>1677</v>
      </c>
      <c r="B299" s="9" t="s">
        <v>1678</v>
      </c>
      <c r="C299" s="9" t="s">
        <v>66</v>
      </c>
      <c r="D299" s="9" t="s">
        <v>70</v>
      </c>
      <c r="E299" s="9" t="s">
        <v>4</v>
      </c>
      <c r="F299" s="9" t="s">
        <v>1679</v>
      </c>
      <c r="G299" s="10" t="n">
        <v>40777</v>
      </c>
      <c r="H299" s="9" t="s">
        <v>268</v>
      </c>
      <c r="I299" s="10" t="n">
        <v>43635</v>
      </c>
      <c r="J299" s="9" t="s">
        <v>244</v>
      </c>
      <c r="K299" s="9" t="s">
        <v>245</v>
      </c>
      <c r="L299" s="9" t="s">
        <v>1026</v>
      </c>
      <c r="M299" s="9" t="s">
        <v>244</v>
      </c>
      <c r="N299" s="9" t="n">
        <v>123</v>
      </c>
      <c r="O299" s="9" t="n">
        <v>4</v>
      </c>
      <c r="P299" s="9" t="str">
        <f aca="false">HYPERLINK("https://www.cqc.org.uk/location/1-290752472","https://www.cqc.org.uk/location/1-290752472")</f>
        <v>https://www.cqc.org.uk/location/1-290752472</v>
      </c>
      <c r="Q299" s="9" t="s">
        <v>1680</v>
      </c>
      <c r="R299" s="10" t="n">
        <v>46266</v>
      </c>
      <c r="S299" s="10" t="n">
        <v>46267</v>
      </c>
      <c r="T299" s="10" t="n">
        <v>46273</v>
      </c>
      <c r="U299" s="9" t="n">
        <v>37693</v>
      </c>
    </row>
    <row r="300" customFormat="false" ht="64" hidden="false" customHeight="true" outlineLevel="0" collapsed="false">
      <c r="A300" s="7" t="s">
        <v>1681</v>
      </c>
      <c r="B300" s="7" t="s">
        <v>1682</v>
      </c>
      <c r="C300" s="7" t="s">
        <v>66</v>
      </c>
      <c r="D300" s="7" t="s">
        <v>70</v>
      </c>
      <c r="E300" s="7" t="s">
        <v>4</v>
      </c>
      <c r="F300" s="7" t="s">
        <v>1683</v>
      </c>
      <c r="G300" s="8" t="n">
        <v>43182</v>
      </c>
      <c r="H300" s="7" t="s">
        <v>268</v>
      </c>
      <c r="I300" s="8" t="n">
        <v>43538</v>
      </c>
      <c r="J300" s="7" t="s">
        <v>244</v>
      </c>
      <c r="K300" s="7" t="s">
        <v>245</v>
      </c>
      <c r="L300" s="7" t="s">
        <v>405</v>
      </c>
      <c r="M300" s="7" t="s">
        <v>244</v>
      </c>
      <c r="N300" s="7" t="n">
        <v>123</v>
      </c>
      <c r="O300" s="7" t="n">
        <v>4</v>
      </c>
      <c r="P300" s="7" t="str">
        <f aca="false">HYPERLINK("https://www.cqc.org.uk/location/1-4826285128","https://www.cqc.org.uk/location/1-4826285128")</f>
        <v>https://www.cqc.org.uk/location/1-4826285128</v>
      </c>
      <c r="Q300" s="7" t="s">
        <v>1680</v>
      </c>
      <c r="R300" s="8" t="n">
        <v>46266</v>
      </c>
      <c r="S300" s="8" t="n">
        <v>46267</v>
      </c>
      <c r="T300" s="8" t="n">
        <v>46273</v>
      </c>
      <c r="U300" s="7" t="n">
        <v>42910</v>
      </c>
    </row>
    <row r="301" customFormat="false" ht="64" hidden="false" customHeight="true" outlineLevel="0" collapsed="false">
      <c r="A301" s="9" t="s">
        <v>1684</v>
      </c>
      <c r="B301" s="9" t="s">
        <v>1685</v>
      </c>
      <c r="C301" s="9" t="s">
        <v>1686</v>
      </c>
      <c r="D301" s="9" t="s">
        <v>1687</v>
      </c>
      <c r="E301" s="9" t="s">
        <v>4</v>
      </c>
      <c r="F301" s="9" t="s">
        <v>907</v>
      </c>
      <c r="G301" s="10" t="n">
        <v>41918</v>
      </c>
      <c r="H301" s="9" t="s">
        <v>268</v>
      </c>
      <c r="I301" s="10" t="n">
        <v>44744</v>
      </c>
      <c r="J301" s="9" t="s">
        <v>244</v>
      </c>
      <c r="K301" s="9" t="s">
        <v>252</v>
      </c>
      <c r="L301" s="9" t="s">
        <v>253</v>
      </c>
      <c r="M301" s="9" t="s">
        <v>254</v>
      </c>
      <c r="N301" s="9" t="n">
        <v>1</v>
      </c>
      <c r="O301" s="9" t="n">
        <v>1</v>
      </c>
      <c r="P301" s="9" t="str">
        <f aca="false">HYPERLINK("https://www.cqc.org.uk/location/1-1764201580","https://www.cqc.org.uk/location/1-1764201580")</f>
        <v>https://www.cqc.org.uk/location/1-1764201580</v>
      </c>
      <c r="Q301" s="9"/>
      <c r="R301" s="10" t="n">
        <v>46266</v>
      </c>
      <c r="S301" s="10" t="n">
        <v>46267</v>
      </c>
      <c r="T301" s="10" t="n">
        <v>46273</v>
      </c>
      <c r="U301" s="9" t="n">
        <v>18714</v>
      </c>
    </row>
    <row r="302" customFormat="false" ht="64" hidden="false" customHeight="true" outlineLevel="0" collapsed="false">
      <c r="A302" s="7" t="s">
        <v>1688</v>
      </c>
      <c r="B302" s="7" t="s">
        <v>1689</v>
      </c>
      <c r="C302" s="7" t="s">
        <v>1689</v>
      </c>
      <c r="D302" s="7" t="s">
        <v>1690</v>
      </c>
      <c r="E302" s="7" t="s">
        <v>4</v>
      </c>
      <c r="F302" s="7" t="s">
        <v>1691</v>
      </c>
      <c r="G302" s="8" t="n">
        <v>41869</v>
      </c>
      <c r="H302" s="7" t="s">
        <v>268</v>
      </c>
      <c r="I302" s="8" t="n">
        <v>43672</v>
      </c>
      <c r="J302" s="7" t="s">
        <v>244</v>
      </c>
      <c r="K302" s="7" t="s">
        <v>252</v>
      </c>
      <c r="L302" s="7" t="s">
        <v>772</v>
      </c>
      <c r="M302" s="7" t="s">
        <v>254</v>
      </c>
      <c r="N302" s="7" t="n">
        <v>1</v>
      </c>
      <c r="O302" s="7" t="n">
        <v>1</v>
      </c>
      <c r="P302" s="7" t="str">
        <f aca="false">HYPERLINK("https://www.cqc.org.uk/location/1-1553474821","https://www.cqc.org.uk/location/1-1553474821")</f>
        <v>https://www.cqc.org.uk/location/1-1553474821</v>
      </c>
      <c r="Q302" s="7"/>
      <c r="R302" s="8" t="n">
        <v>46266</v>
      </c>
      <c r="S302" s="8" t="n">
        <v>46267</v>
      </c>
      <c r="T302" s="8" t="n">
        <v>46273</v>
      </c>
      <c r="U302" s="7" t="n">
        <v>16314</v>
      </c>
    </row>
    <row r="303" customFormat="false" ht="64" hidden="false" customHeight="true" outlineLevel="0" collapsed="false">
      <c r="A303" s="9" t="s">
        <v>1692</v>
      </c>
      <c r="B303" s="9" t="s">
        <v>1693</v>
      </c>
      <c r="C303" s="9" t="s">
        <v>1694</v>
      </c>
      <c r="D303" s="9" t="s">
        <v>1695</v>
      </c>
      <c r="E303" s="9" t="s">
        <v>5</v>
      </c>
      <c r="F303" s="9" t="s">
        <v>1696</v>
      </c>
      <c r="G303" s="10" t="n">
        <v>45258</v>
      </c>
      <c r="H303" s="9"/>
      <c r="I303" s="10"/>
      <c r="J303" s="9"/>
      <c r="K303" s="9" t="s">
        <v>252</v>
      </c>
      <c r="L303" s="9" t="s">
        <v>596</v>
      </c>
      <c r="M303" s="9" t="s">
        <v>254</v>
      </c>
      <c r="N303" s="9" t="n">
        <v>1</v>
      </c>
      <c r="O303" s="9" t="n">
        <v>1</v>
      </c>
      <c r="P303" s="9" t="str">
        <f aca="false">HYPERLINK("https://www.cqc.org.uk/location/1-18175091537","https://www.cqc.org.uk/location/1-18175091537")</f>
        <v>https://www.cqc.org.uk/location/1-18175091537</v>
      </c>
      <c r="Q303" s="9" t="s">
        <v>1697</v>
      </c>
      <c r="R303" s="10" t="n">
        <v>46266</v>
      </c>
      <c r="S303" s="10" t="n">
        <v>46267</v>
      </c>
      <c r="T303" s="10" t="n">
        <v>46273</v>
      </c>
      <c r="U303" s="9" t="n">
        <v>19491</v>
      </c>
    </row>
    <row r="304" customFormat="false" ht="64" hidden="false" customHeight="true" outlineLevel="0" collapsed="false">
      <c r="A304" s="7" t="s">
        <v>1698</v>
      </c>
      <c r="B304" s="7" t="s">
        <v>1699</v>
      </c>
      <c r="C304" s="7" t="s">
        <v>1700</v>
      </c>
      <c r="D304" s="7" t="s">
        <v>1701</v>
      </c>
      <c r="E304" s="7" t="s">
        <v>5</v>
      </c>
      <c r="F304" s="7" t="s">
        <v>1702</v>
      </c>
      <c r="G304" s="8" t="n">
        <v>45763</v>
      </c>
      <c r="H304" s="7" t="s">
        <v>268</v>
      </c>
      <c r="I304" s="8" t="n">
        <v>44783</v>
      </c>
      <c r="J304" s="7" t="s">
        <v>254</v>
      </c>
      <c r="K304" s="7" t="s">
        <v>245</v>
      </c>
      <c r="L304" s="7" t="s">
        <v>848</v>
      </c>
      <c r="M304" s="7" t="s">
        <v>244</v>
      </c>
      <c r="N304" s="7" t="n">
        <v>1</v>
      </c>
      <c r="O304" s="7" t="n">
        <v>1</v>
      </c>
      <c r="P304" s="7" t="str">
        <f aca="false">HYPERLINK("https://www.cqc.org.uk/location/1-21950976405","https://www.cqc.org.uk/location/1-21950976405")</f>
        <v>https://www.cqc.org.uk/location/1-21950976405</v>
      </c>
      <c r="Q304" s="7" t="s">
        <v>1703</v>
      </c>
      <c r="R304" s="8" t="n">
        <v>46266</v>
      </c>
      <c r="S304" s="8" t="n">
        <v>46267</v>
      </c>
      <c r="T304" s="8" t="n">
        <v>46273</v>
      </c>
      <c r="U304" s="7" t="n">
        <v>28349</v>
      </c>
    </row>
    <row r="305" customFormat="false" ht="64" hidden="false" customHeight="true" outlineLevel="0" collapsed="false">
      <c r="A305" s="9" t="s">
        <v>1704</v>
      </c>
      <c r="B305" s="9" t="s">
        <v>1705</v>
      </c>
      <c r="C305" s="9" t="s">
        <v>1706</v>
      </c>
      <c r="D305" s="9" t="s">
        <v>1707</v>
      </c>
      <c r="E305" s="9" t="s">
        <v>5</v>
      </c>
      <c r="F305" s="9" t="s">
        <v>1708</v>
      </c>
      <c r="G305" s="10" t="n">
        <v>44929</v>
      </c>
      <c r="H305" s="9"/>
      <c r="I305" s="10"/>
      <c r="J305" s="9"/>
      <c r="K305" s="9" t="s">
        <v>252</v>
      </c>
      <c r="L305" s="9" t="s">
        <v>471</v>
      </c>
      <c r="M305" s="9" t="s">
        <v>254</v>
      </c>
      <c r="N305" s="9" t="n">
        <v>1</v>
      </c>
      <c r="O305" s="9" t="n">
        <v>1</v>
      </c>
      <c r="P305" s="9" t="str">
        <f aca="false">HYPERLINK("https://www.cqc.org.uk/location/1-14643096648","https://www.cqc.org.uk/location/1-14643096648")</f>
        <v>https://www.cqc.org.uk/location/1-14643096648</v>
      </c>
      <c r="Q305" s="9" t="s">
        <v>1709</v>
      </c>
      <c r="R305" s="10" t="n">
        <v>46266</v>
      </c>
      <c r="S305" s="10" t="n">
        <v>46267</v>
      </c>
      <c r="T305" s="10" t="n">
        <v>46273</v>
      </c>
      <c r="U305" s="9" t="n">
        <v>14508</v>
      </c>
    </row>
    <row r="306" customFormat="false" ht="64" hidden="false" customHeight="true" outlineLevel="0" collapsed="false">
      <c r="A306" s="7" t="s">
        <v>1710</v>
      </c>
      <c r="B306" s="7" t="s">
        <v>1711</v>
      </c>
      <c r="C306" s="7" t="s">
        <v>49</v>
      </c>
      <c r="D306" s="7" t="s">
        <v>55</v>
      </c>
      <c r="E306" s="7" t="s">
        <v>5</v>
      </c>
      <c r="F306" s="7" t="s">
        <v>1712</v>
      </c>
      <c r="G306" s="8" t="n">
        <v>45383</v>
      </c>
      <c r="H306" s="7" t="s">
        <v>268</v>
      </c>
      <c r="I306" s="8" t="n">
        <v>44887</v>
      </c>
      <c r="J306" s="7" t="s">
        <v>254</v>
      </c>
      <c r="K306" s="7" t="s">
        <v>245</v>
      </c>
      <c r="L306" s="7" t="s">
        <v>848</v>
      </c>
      <c r="M306" s="7" t="s">
        <v>244</v>
      </c>
      <c r="N306" s="7" t="n">
        <v>10</v>
      </c>
      <c r="O306" s="7" t="n">
        <v>4</v>
      </c>
      <c r="P306" s="7" t="str">
        <f aca="false">HYPERLINK("https://www.cqc.org.uk/location/1-19060271907","https://www.cqc.org.uk/location/1-19060271907")</f>
        <v>https://www.cqc.org.uk/location/1-19060271907</v>
      </c>
      <c r="Q306" s="7" t="s">
        <v>1713</v>
      </c>
      <c r="R306" s="8" t="n">
        <v>46266</v>
      </c>
      <c r="S306" s="8" t="n">
        <v>46267</v>
      </c>
      <c r="T306" s="8" t="n">
        <v>46273</v>
      </c>
      <c r="U306" s="7" t="n">
        <v>21551</v>
      </c>
    </row>
    <row r="307" customFormat="false" ht="64" hidden="false" customHeight="true" outlineLevel="0" collapsed="false">
      <c r="A307" s="9" t="s">
        <v>1714</v>
      </c>
      <c r="B307" s="9" t="s">
        <v>1715</v>
      </c>
      <c r="C307" s="9" t="s">
        <v>49</v>
      </c>
      <c r="D307" s="9" t="s">
        <v>55</v>
      </c>
      <c r="E307" s="9" t="s">
        <v>5</v>
      </c>
      <c r="F307" s="9" t="s">
        <v>1716</v>
      </c>
      <c r="G307" s="10" t="n">
        <v>45383</v>
      </c>
      <c r="H307" s="9" t="s">
        <v>268</v>
      </c>
      <c r="I307" s="10" t="n">
        <v>44897</v>
      </c>
      <c r="J307" s="9" t="s">
        <v>254</v>
      </c>
      <c r="K307" s="9" t="s">
        <v>245</v>
      </c>
      <c r="L307" s="9" t="s">
        <v>269</v>
      </c>
      <c r="M307" s="9" t="s">
        <v>244</v>
      </c>
      <c r="N307" s="9" t="n">
        <v>10</v>
      </c>
      <c r="O307" s="9" t="n">
        <v>4</v>
      </c>
      <c r="P307" s="9" t="str">
        <f aca="false">HYPERLINK("https://www.cqc.org.uk/location/1-19060272095","https://www.cqc.org.uk/location/1-19060272095")</f>
        <v>https://www.cqc.org.uk/location/1-19060272095</v>
      </c>
      <c r="Q307" s="9" t="s">
        <v>1713</v>
      </c>
      <c r="R307" s="10" t="n">
        <v>46266</v>
      </c>
      <c r="S307" s="10" t="n">
        <v>46267</v>
      </c>
      <c r="T307" s="10" t="n">
        <v>46273</v>
      </c>
      <c r="U307" s="9" t="n">
        <v>21552</v>
      </c>
    </row>
    <row r="308" customFormat="false" ht="64" hidden="false" customHeight="true" outlineLevel="0" collapsed="false">
      <c r="A308" s="7" t="s">
        <v>1717</v>
      </c>
      <c r="B308" s="7" t="s">
        <v>1718</v>
      </c>
      <c r="C308" s="7" t="s">
        <v>49</v>
      </c>
      <c r="D308" s="7" t="s">
        <v>55</v>
      </c>
      <c r="E308" s="7" t="s">
        <v>5</v>
      </c>
      <c r="F308" s="7" t="s">
        <v>1719</v>
      </c>
      <c r="G308" s="8" t="n">
        <v>45383</v>
      </c>
      <c r="H308" s="7" t="s">
        <v>268</v>
      </c>
      <c r="I308" s="8" t="n">
        <v>46202</v>
      </c>
      <c r="J308" s="7" t="s">
        <v>244</v>
      </c>
      <c r="K308" s="7" t="s">
        <v>245</v>
      </c>
      <c r="L308" s="7" t="s">
        <v>269</v>
      </c>
      <c r="M308" s="7" t="s">
        <v>244</v>
      </c>
      <c r="N308" s="7" t="n">
        <v>10</v>
      </c>
      <c r="O308" s="7" t="n">
        <v>4</v>
      </c>
      <c r="P308" s="7" t="str">
        <f aca="false">HYPERLINK("https://www.cqc.org.uk/location/1-19060272122","https://www.cqc.org.uk/location/1-19060272122")</f>
        <v>https://www.cqc.org.uk/location/1-19060272122</v>
      </c>
      <c r="Q308" s="7" t="s">
        <v>1713</v>
      </c>
      <c r="R308" s="8" t="n">
        <v>46266</v>
      </c>
      <c r="S308" s="8" t="n">
        <v>46267</v>
      </c>
      <c r="T308" s="8" t="n">
        <v>46273</v>
      </c>
      <c r="U308" s="7" t="n">
        <v>21553</v>
      </c>
    </row>
    <row r="309" customFormat="false" ht="64" hidden="false" customHeight="true" outlineLevel="0" collapsed="false">
      <c r="A309" s="9" t="s">
        <v>56</v>
      </c>
      <c r="B309" s="9" t="s">
        <v>57</v>
      </c>
      <c r="C309" s="9" t="s">
        <v>49</v>
      </c>
      <c r="D309" s="9" t="s">
        <v>55</v>
      </c>
      <c r="E309" s="9" t="s">
        <v>5</v>
      </c>
      <c r="F309" s="9" t="s">
        <v>1720</v>
      </c>
      <c r="G309" s="10" t="n">
        <v>45595</v>
      </c>
      <c r="H309" s="9"/>
      <c r="I309" s="10"/>
      <c r="J309" s="9"/>
      <c r="K309" s="9" t="s">
        <v>914</v>
      </c>
      <c r="L309" s="9" t="s">
        <v>269</v>
      </c>
      <c r="M309" s="9" t="s">
        <v>244</v>
      </c>
      <c r="N309" s="9" t="n">
        <v>10</v>
      </c>
      <c r="O309" s="9" t="n">
        <v>4</v>
      </c>
      <c r="P309" s="9" t="str">
        <f aca="false">HYPERLINK("https://www.cqc.org.uk/location/1-20393312342","https://www.cqc.org.uk/location/1-20393312342")</f>
        <v>https://www.cqc.org.uk/location/1-20393312342</v>
      </c>
      <c r="Q309" s="9" t="s">
        <v>1713</v>
      </c>
      <c r="R309" s="10" t="n">
        <v>46266</v>
      </c>
      <c r="S309" s="10" t="n">
        <v>46267</v>
      </c>
      <c r="T309" s="10" t="n">
        <v>46273</v>
      </c>
      <c r="U309" s="9" t="n">
        <v>25852</v>
      </c>
    </row>
    <row r="310" customFormat="false" ht="64" hidden="false" customHeight="true" outlineLevel="0" collapsed="false">
      <c r="A310" s="7" t="s">
        <v>1721</v>
      </c>
      <c r="B310" s="7" t="s">
        <v>1722</v>
      </c>
      <c r="C310" s="7" t="s">
        <v>95</v>
      </c>
      <c r="D310" s="7" t="s">
        <v>99</v>
      </c>
      <c r="E310" s="7" t="s">
        <v>5</v>
      </c>
      <c r="F310" s="7" t="s">
        <v>1723</v>
      </c>
      <c r="G310" s="8" t="n">
        <v>46080</v>
      </c>
      <c r="H310" s="7"/>
      <c r="I310" s="8"/>
      <c r="J310" s="7"/>
      <c r="K310" s="7" t="s">
        <v>245</v>
      </c>
      <c r="L310" s="7" t="s">
        <v>848</v>
      </c>
      <c r="M310" s="7" t="s">
        <v>244</v>
      </c>
      <c r="N310" s="7" t="n">
        <v>32</v>
      </c>
      <c r="O310" s="7" t="n">
        <v>2</v>
      </c>
      <c r="P310" s="7" t="str">
        <f aca="false">HYPERLINK("https://www.cqc.org.uk/location/1-27031625266","https://www.cqc.org.uk/location/1-27031625266")</f>
        <v>https://www.cqc.org.uk/location/1-27031625266</v>
      </c>
      <c r="Q310" s="7" t="s">
        <v>1724</v>
      </c>
      <c r="R310" s="8" t="n">
        <v>46266</v>
      </c>
      <c r="S310" s="8" t="n">
        <v>46267</v>
      </c>
      <c r="T310" s="8" t="n">
        <v>46273</v>
      </c>
      <c r="U310" s="7" t="n">
        <v>35544</v>
      </c>
    </row>
    <row r="311" customFormat="false" ht="64" hidden="false" customHeight="true" outlineLevel="0" collapsed="false">
      <c r="A311" s="9" t="s">
        <v>100</v>
      </c>
      <c r="B311" s="9" t="s">
        <v>101</v>
      </c>
      <c r="C311" s="9" t="s">
        <v>95</v>
      </c>
      <c r="D311" s="9" t="s">
        <v>99</v>
      </c>
      <c r="E311" s="9" t="s">
        <v>5</v>
      </c>
      <c r="F311" s="9" t="s">
        <v>1723</v>
      </c>
      <c r="G311" s="10" t="n">
        <v>46226</v>
      </c>
      <c r="H311" s="9"/>
      <c r="I311" s="10"/>
      <c r="J311" s="9"/>
      <c r="K311" s="9" t="s">
        <v>245</v>
      </c>
      <c r="L311" s="9" t="s">
        <v>848</v>
      </c>
      <c r="M311" s="9" t="s">
        <v>244</v>
      </c>
      <c r="N311" s="9" t="n">
        <v>32</v>
      </c>
      <c r="O311" s="9" t="n">
        <v>2</v>
      </c>
      <c r="P311" s="9" t="str">
        <f aca="false">HYPERLINK("https://www.cqc.org.uk/location/1-28707271724","https://www.cqc.org.uk/location/1-28707271724")</f>
        <v>https://www.cqc.org.uk/location/1-28707271724</v>
      </c>
      <c r="Q311" s="9" t="s">
        <v>1724</v>
      </c>
      <c r="R311" s="10" t="n">
        <v>46266</v>
      </c>
      <c r="S311" s="10" t="n">
        <v>46267</v>
      </c>
      <c r="T311" s="10" t="n">
        <v>46273</v>
      </c>
      <c r="U311" s="9" t="n">
        <v>37360</v>
      </c>
    </row>
    <row r="312" customFormat="false" ht="64" hidden="false" customHeight="true" outlineLevel="0" collapsed="false">
      <c r="A312" s="7" t="s">
        <v>1725</v>
      </c>
      <c r="B312" s="7" t="s">
        <v>1726</v>
      </c>
      <c r="C312" s="7" t="s">
        <v>1726</v>
      </c>
      <c r="D312" s="7" t="s">
        <v>1727</v>
      </c>
      <c r="E312" s="7" t="s">
        <v>5</v>
      </c>
      <c r="F312" s="7" t="s">
        <v>1728</v>
      </c>
      <c r="G312" s="8" t="n">
        <v>42009</v>
      </c>
      <c r="H312" s="7" t="s">
        <v>268</v>
      </c>
      <c r="I312" s="8" t="n">
        <v>43698</v>
      </c>
      <c r="J312" s="7" t="s">
        <v>244</v>
      </c>
      <c r="K312" s="7" t="s">
        <v>245</v>
      </c>
      <c r="L312" s="7" t="s">
        <v>269</v>
      </c>
      <c r="M312" s="7" t="s">
        <v>244</v>
      </c>
      <c r="N312" s="7" t="n">
        <v>2</v>
      </c>
      <c r="O312" s="7" t="n">
        <v>1</v>
      </c>
      <c r="P312" s="7" t="str">
        <f aca="false">HYPERLINK("https://www.cqc.org.uk/location/1-143046239","https://www.cqc.org.uk/location/1-143046239")</f>
        <v>https://www.cqc.org.uk/location/1-143046239</v>
      </c>
      <c r="Q312" s="7"/>
      <c r="R312" s="8" t="n">
        <v>46266</v>
      </c>
      <c r="S312" s="8" t="n">
        <v>46267</v>
      </c>
      <c r="T312" s="8" t="n">
        <v>46273</v>
      </c>
      <c r="U312" s="7" t="n">
        <v>13714</v>
      </c>
    </row>
    <row r="313" customFormat="false" ht="64" hidden="false" customHeight="true" outlineLevel="0" collapsed="false">
      <c r="A313" s="9" t="s">
        <v>1729</v>
      </c>
      <c r="B313" s="9" t="s">
        <v>1730</v>
      </c>
      <c r="C313" s="9" t="s">
        <v>1731</v>
      </c>
      <c r="D313" s="9" t="s">
        <v>1732</v>
      </c>
      <c r="E313" s="9" t="s">
        <v>5</v>
      </c>
      <c r="F313" s="9" t="s">
        <v>1723</v>
      </c>
      <c r="G313" s="10" t="n">
        <v>45387</v>
      </c>
      <c r="H313" s="9"/>
      <c r="I313" s="10"/>
      <c r="J313" s="9"/>
      <c r="K313" s="9" t="s">
        <v>245</v>
      </c>
      <c r="L313" s="9" t="s">
        <v>848</v>
      </c>
      <c r="M313" s="9" t="s">
        <v>244</v>
      </c>
      <c r="N313" s="9" t="n">
        <v>1</v>
      </c>
      <c r="O313" s="9" t="n">
        <v>1</v>
      </c>
      <c r="P313" s="9" t="str">
        <f aca="false">HYPERLINK("https://www.cqc.org.uk/location/1-19057685215","https://www.cqc.org.uk/location/1-19057685215")</f>
        <v>https://www.cqc.org.uk/location/1-19057685215</v>
      </c>
      <c r="Q313" s="9" t="s">
        <v>1733</v>
      </c>
      <c r="R313" s="10" t="n">
        <v>46266</v>
      </c>
      <c r="S313" s="10" t="n">
        <v>46267</v>
      </c>
      <c r="T313" s="10" t="n">
        <v>46273</v>
      </c>
      <c r="U313" s="9" t="n">
        <v>21503</v>
      </c>
    </row>
    <row r="314" customFormat="false" ht="64" hidden="false" customHeight="true" outlineLevel="0" collapsed="false">
      <c r="A314" s="7" t="s">
        <v>107</v>
      </c>
      <c r="B314" s="7" t="s">
        <v>108</v>
      </c>
      <c r="C314" s="7" t="s">
        <v>102</v>
      </c>
      <c r="D314" s="7" t="s">
        <v>106</v>
      </c>
      <c r="E314" s="7" t="s">
        <v>5</v>
      </c>
      <c r="F314" s="7" t="s">
        <v>1734</v>
      </c>
      <c r="G314" s="8" t="n">
        <v>41617</v>
      </c>
      <c r="H314" s="7" t="s">
        <v>268</v>
      </c>
      <c r="I314" s="8" t="n">
        <v>43039</v>
      </c>
      <c r="J314" s="7" t="s">
        <v>244</v>
      </c>
      <c r="K314" s="7" t="s">
        <v>252</v>
      </c>
      <c r="L314" s="7" t="s">
        <v>386</v>
      </c>
      <c r="M314" s="7" t="s">
        <v>254</v>
      </c>
      <c r="N314" s="7" t="n">
        <v>3</v>
      </c>
      <c r="O314" s="7" t="n">
        <v>2</v>
      </c>
      <c r="P314" s="7" t="str">
        <f aca="false">HYPERLINK("https://www.cqc.org.uk/location/1-1070803341","https://www.cqc.org.uk/location/1-1070803341")</f>
        <v>https://www.cqc.org.uk/location/1-1070803341</v>
      </c>
      <c r="Q314" s="7" t="s">
        <v>373</v>
      </c>
      <c r="R314" s="8" t="n">
        <v>46266</v>
      </c>
      <c r="S314" s="8" t="n">
        <v>46267</v>
      </c>
      <c r="T314" s="8" t="n">
        <v>46273</v>
      </c>
      <c r="U314" s="7" t="n">
        <v>1174</v>
      </c>
    </row>
    <row r="315" customFormat="false" ht="64" hidden="false" customHeight="true" outlineLevel="0" collapsed="false">
      <c r="A315" s="9" t="s">
        <v>1735</v>
      </c>
      <c r="B315" s="9" t="s">
        <v>1736</v>
      </c>
      <c r="C315" s="9" t="s">
        <v>1737</v>
      </c>
      <c r="D315" s="9" t="s">
        <v>1738</v>
      </c>
      <c r="E315" s="9" t="s">
        <v>5</v>
      </c>
      <c r="F315" s="9" t="s">
        <v>1739</v>
      </c>
      <c r="G315" s="10" t="n">
        <v>45855</v>
      </c>
      <c r="H315" s="9"/>
      <c r="I315" s="10"/>
      <c r="J315" s="9"/>
      <c r="K315" s="9" t="s">
        <v>252</v>
      </c>
      <c r="L315" s="9" t="s">
        <v>1740</v>
      </c>
      <c r="M315" s="9" t="s">
        <v>254</v>
      </c>
      <c r="N315" s="9" t="n">
        <v>2</v>
      </c>
      <c r="O315" s="9" t="n">
        <v>1</v>
      </c>
      <c r="P315" s="9" t="str">
        <f aca="false">HYPERLINK("https://www.cqc.org.uk/location/1-23418838330","https://www.cqc.org.uk/location/1-23418838330")</f>
        <v>https://www.cqc.org.uk/location/1-23418838330</v>
      </c>
      <c r="Q315" s="9" t="s">
        <v>1741</v>
      </c>
      <c r="R315" s="10" t="n">
        <v>46266</v>
      </c>
      <c r="S315" s="10" t="n">
        <v>46267</v>
      </c>
      <c r="T315" s="10" t="n">
        <v>46273</v>
      </c>
      <c r="U315" s="9" t="n">
        <v>30876</v>
      </c>
    </row>
    <row r="316" customFormat="false" ht="64" hidden="false" customHeight="true" outlineLevel="0" collapsed="false">
      <c r="A316" s="7" t="s">
        <v>1742</v>
      </c>
      <c r="B316" s="7" t="s">
        <v>1743</v>
      </c>
      <c r="C316" s="7" t="s">
        <v>1743</v>
      </c>
      <c r="D316" s="7" t="s">
        <v>1744</v>
      </c>
      <c r="E316" s="7" t="s">
        <v>5</v>
      </c>
      <c r="F316" s="7" t="s">
        <v>1728</v>
      </c>
      <c r="G316" s="8" t="n">
        <v>41907</v>
      </c>
      <c r="H316" s="7" t="s">
        <v>268</v>
      </c>
      <c r="I316" s="8" t="n">
        <v>43691</v>
      </c>
      <c r="J316" s="7" t="s">
        <v>244</v>
      </c>
      <c r="K316" s="7" t="s">
        <v>252</v>
      </c>
      <c r="L316" s="7" t="s">
        <v>364</v>
      </c>
      <c r="M316" s="7" t="s">
        <v>254</v>
      </c>
      <c r="N316" s="7" t="n">
        <v>1</v>
      </c>
      <c r="O316" s="7" t="n">
        <v>1</v>
      </c>
      <c r="P316" s="7" t="str">
        <f aca="false">HYPERLINK("https://www.cqc.org.uk/location/1-1686342232","https://www.cqc.org.uk/location/1-1686342232")</f>
        <v>https://www.cqc.org.uk/location/1-1686342232</v>
      </c>
      <c r="Q316" s="7"/>
      <c r="R316" s="8" t="n">
        <v>46266</v>
      </c>
      <c r="S316" s="8" t="n">
        <v>46267</v>
      </c>
      <c r="T316" s="8" t="n">
        <v>46273</v>
      </c>
      <c r="U316" s="7" t="n">
        <v>17749</v>
      </c>
    </row>
    <row r="317" customFormat="false" ht="64" hidden="false" customHeight="true" outlineLevel="0" collapsed="false">
      <c r="A317" s="9" t="s">
        <v>1745</v>
      </c>
      <c r="B317" s="9" t="s">
        <v>1746</v>
      </c>
      <c r="C317" s="9" t="s">
        <v>1746</v>
      </c>
      <c r="D317" s="9" t="s">
        <v>1747</v>
      </c>
      <c r="E317" s="9" t="s">
        <v>5</v>
      </c>
      <c r="F317" s="9" t="s">
        <v>1748</v>
      </c>
      <c r="G317" s="10" t="n">
        <v>45705</v>
      </c>
      <c r="H317" s="9" t="s">
        <v>268</v>
      </c>
      <c r="I317" s="10" t="n">
        <v>43769</v>
      </c>
      <c r="J317" s="9" t="s">
        <v>254</v>
      </c>
      <c r="K317" s="9" t="s">
        <v>245</v>
      </c>
      <c r="L317" s="9" t="s">
        <v>269</v>
      </c>
      <c r="M317" s="9" t="s">
        <v>244</v>
      </c>
      <c r="N317" s="9" t="n">
        <v>1</v>
      </c>
      <c r="O317" s="9" t="n">
        <v>1</v>
      </c>
      <c r="P317" s="9" t="str">
        <f aca="false">HYPERLINK("https://www.cqc.org.uk/location/1-21252528279","https://www.cqc.org.uk/location/1-21252528279")</f>
        <v>https://www.cqc.org.uk/location/1-21252528279</v>
      </c>
      <c r="Q317" s="9"/>
      <c r="R317" s="10" t="n">
        <v>46266</v>
      </c>
      <c r="S317" s="10" t="n">
        <v>46267</v>
      </c>
      <c r="T317" s="10" t="n">
        <v>46273</v>
      </c>
      <c r="U317" s="9" t="n">
        <v>27186</v>
      </c>
    </row>
    <row r="318" customFormat="false" ht="64" hidden="false" customHeight="true" outlineLevel="0" collapsed="false">
      <c r="A318" s="7" t="s">
        <v>1749</v>
      </c>
      <c r="B318" s="7" t="s">
        <v>1750</v>
      </c>
      <c r="C318" s="7" t="s">
        <v>1751</v>
      </c>
      <c r="D318" s="7" t="s">
        <v>1752</v>
      </c>
      <c r="E318" s="7" t="s">
        <v>5</v>
      </c>
      <c r="F318" s="7" t="s">
        <v>1753</v>
      </c>
      <c r="G318" s="8" t="n">
        <v>43910</v>
      </c>
      <c r="H318" s="7" t="s">
        <v>268</v>
      </c>
      <c r="I318" s="8" t="n">
        <v>44588</v>
      </c>
      <c r="J318" s="7" t="s">
        <v>244</v>
      </c>
      <c r="K318" s="7" t="s">
        <v>245</v>
      </c>
      <c r="L318" s="7" t="s">
        <v>289</v>
      </c>
      <c r="M318" s="7" t="s">
        <v>244</v>
      </c>
      <c r="N318" s="7" t="n">
        <v>1</v>
      </c>
      <c r="O318" s="7" t="n">
        <v>1</v>
      </c>
      <c r="P318" s="7" t="str">
        <f aca="false">HYPERLINK("https://www.cqc.org.uk/location/1-8583352224","https://www.cqc.org.uk/location/1-8583352224")</f>
        <v>https://www.cqc.org.uk/location/1-8583352224</v>
      </c>
      <c r="Q318" s="7" t="s">
        <v>1754</v>
      </c>
      <c r="R318" s="8" t="n">
        <v>46266</v>
      </c>
      <c r="S318" s="8" t="n">
        <v>46267</v>
      </c>
      <c r="T318" s="8" t="n">
        <v>46273</v>
      </c>
      <c r="U318" s="7" t="n">
        <v>53156</v>
      </c>
    </row>
    <row r="319" customFormat="false" ht="64" hidden="false" customHeight="true" outlineLevel="0" collapsed="false">
      <c r="A319" s="9" t="s">
        <v>1755</v>
      </c>
      <c r="B319" s="9" t="s">
        <v>1756</v>
      </c>
      <c r="C319" s="9" t="s">
        <v>1756</v>
      </c>
      <c r="D319" s="9" t="s">
        <v>1757</v>
      </c>
      <c r="E319" s="9" t="s">
        <v>5</v>
      </c>
      <c r="F319" s="9" t="s">
        <v>1758</v>
      </c>
      <c r="G319" s="10" t="n">
        <v>42548</v>
      </c>
      <c r="H319" s="9" t="s">
        <v>268</v>
      </c>
      <c r="I319" s="10" t="n">
        <v>46197</v>
      </c>
      <c r="J319" s="9" t="s">
        <v>244</v>
      </c>
      <c r="K319" s="9" t="s">
        <v>245</v>
      </c>
      <c r="L319" s="9" t="s">
        <v>386</v>
      </c>
      <c r="M319" s="9" t="s">
        <v>244</v>
      </c>
      <c r="N319" s="9" t="n">
        <v>1</v>
      </c>
      <c r="O319" s="9" t="n">
        <v>1</v>
      </c>
      <c r="P319" s="9" t="str">
        <f aca="false">HYPERLINK("https://www.cqc.org.uk/location/1-2632837915","https://www.cqc.org.uk/location/1-2632837915")</f>
        <v>https://www.cqc.org.uk/location/1-2632837915</v>
      </c>
      <c r="Q319" s="9" t="s">
        <v>387</v>
      </c>
      <c r="R319" s="10" t="n">
        <v>46266</v>
      </c>
      <c r="S319" s="10" t="n">
        <v>46267</v>
      </c>
      <c r="T319" s="10" t="n">
        <v>46273</v>
      </c>
      <c r="U319" s="9" t="n">
        <v>34567</v>
      </c>
    </row>
    <row r="320" customFormat="false" ht="64" hidden="false" customHeight="true" outlineLevel="0" collapsed="false">
      <c r="A320" s="7" t="s">
        <v>1759</v>
      </c>
      <c r="B320" s="7" t="s">
        <v>1760</v>
      </c>
      <c r="C320" s="7" t="s">
        <v>1760</v>
      </c>
      <c r="D320" s="7" t="s">
        <v>1761</v>
      </c>
      <c r="E320" s="7" t="s">
        <v>5</v>
      </c>
      <c r="F320" s="7" t="s">
        <v>1762</v>
      </c>
      <c r="G320" s="8" t="n">
        <v>40519</v>
      </c>
      <c r="H320" s="7" t="s">
        <v>268</v>
      </c>
      <c r="I320" s="8" t="n">
        <v>44896</v>
      </c>
      <c r="J320" s="7" t="s">
        <v>244</v>
      </c>
      <c r="K320" s="7" t="s">
        <v>245</v>
      </c>
      <c r="L320" s="7" t="s">
        <v>1763</v>
      </c>
      <c r="M320" s="7" t="s">
        <v>244</v>
      </c>
      <c r="N320" s="7" t="n">
        <v>1</v>
      </c>
      <c r="O320" s="7" t="n">
        <v>1</v>
      </c>
      <c r="P320" s="7" t="str">
        <f aca="false">HYPERLINK("https://www.cqc.org.uk/location/1-138380533","https://www.cqc.org.uk/location/1-138380533")</f>
        <v>https://www.cqc.org.uk/location/1-138380533</v>
      </c>
      <c r="Q320" s="7" t="s">
        <v>1764</v>
      </c>
      <c r="R320" s="8" t="n">
        <v>46266</v>
      </c>
      <c r="S320" s="8" t="n">
        <v>46267</v>
      </c>
      <c r="T320" s="8" t="n">
        <v>46273</v>
      </c>
      <c r="U320" s="7" t="n">
        <v>12593</v>
      </c>
    </row>
    <row r="321" customFormat="false" ht="64" hidden="false" customHeight="true" outlineLevel="0" collapsed="false">
      <c r="A321" s="9" t="s">
        <v>1765</v>
      </c>
      <c r="B321" s="9" t="s">
        <v>1766</v>
      </c>
      <c r="C321" s="9" t="s">
        <v>1766</v>
      </c>
      <c r="D321" s="9" t="s">
        <v>1767</v>
      </c>
      <c r="E321" s="9" t="s">
        <v>5</v>
      </c>
      <c r="F321" s="9" t="s">
        <v>1768</v>
      </c>
      <c r="G321" s="10" t="n">
        <v>40519</v>
      </c>
      <c r="H321" s="9" t="s">
        <v>243</v>
      </c>
      <c r="I321" s="10" t="n">
        <v>46216</v>
      </c>
      <c r="J321" s="9" t="s">
        <v>244</v>
      </c>
      <c r="K321" s="9" t="s">
        <v>245</v>
      </c>
      <c r="L321" s="9" t="s">
        <v>521</v>
      </c>
      <c r="M321" s="9" t="s">
        <v>244</v>
      </c>
      <c r="N321" s="9" t="n">
        <v>1</v>
      </c>
      <c r="O321" s="9" t="n">
        <v>1</v>
      </c>
      <c r="P321" s="9" t="str">
        <f aca="false">HYPERLINK("https://www.cqc.org.uk/location/1-115981889","https://www.cqc.org.uk/location/1-115981889")</f>
        <v>https://www.cqc.org.uk/location/1-115981889</v>
      </c>
      <c r="Q321" s="9" t="s">
        <v>1769</v>
      </c>
      <c r="R321" s="10" t="n">
        <v>46266</v>
      </c>
      <c r="S321" s="10" t="n">
        <v>46267</v>
      </c>
      <c r="T321" s="10" t="n">
        <v>46273</v>
      </c>
      <c r="U321" s="9" t="n">
        <v>3887</v>
      </c>
    </row>
    <row r="322" customFormat="false" ht="64" hidden="false" customHeight="true" outlineLevel="0" collapsed="false">
      <c r="A322" s="7" t="s">
        <v>1770</v>
      </c>
      <c r="B322" s="7" t="s">
        <v>1771</v>
      </c>
      <c r="C322" s="7" t="s">
        <v>1772</v>
      </c>
      <c r="D322" s="7" t="s">
        <v>1773</v>
      </c>
      <c r="E322" s="7" t="s">
        <v>5</v>
      </c>
      <c r="F322" s="7" t="s">
        <v>1774</v>
      </c>
      <c r="G322" s="8" t="n">
        <v>40518</v>
      </c>
      <c r="H322" s="7" t="s">
        <v>268</v>
      </c>
      <c r="I322" s="8" t="n">
        <v>43890</v>
      </c>
      <c r="J322" s="7" t="s">
        <v>244</v>
      </c>
      <c r="K322" s="7" t="s">
        <v>245</v>
      </c>
      <c r="L322" s="7" t="s">
        <v>848</v>
      </c>
      <c r="M322" s="7" t="s">
        <v>244</v>
      </c>
      <c r="N322" s="7" t="n">
        <v>1</v>
      </c>
      <c r="O322" s="7" t="n">
        <v>1</v>
      </c>
      <c r="P322" s="7" t="str">
        <f aca="false">HYPERLINK("https://www.cqc.org.uk/location/1-116533435","https://www.cqc.org.uk/location/1-116533435")</f>
        <v>https://www.cqc.org.uk/location/1-116533435</v>
      </c>
      <c r="Q322" s="7"/>
      <c r="R322" s="8" t="n">
        <v>46266</v>
      </c>
      <c r="S322" s="8" t="n">
        <v>46267</v>
      </c>
      <c r="T322" s="8" t="n">
        <v>46273</v>
      </c>
      <c r="U322" s="7" t="n">
        <v>4036</v>
      </c>
    </row>
    <row r="323" customFormat="false" ht="64" hidden="false" customHeight="true" outlineLevel="0" collapsed="false">
      <c r="A323" s="9" t="s">
        <v>1775</v>
      </c>
      <c r="B323" s="9" t="s">
        <v>1776</v>
      </c>
      <c r="C323" s="9" t="s">
        <v>1777</v>
      </c>
      <c r="D323" s="9" t="s">
        <v>1778</v>
      </c>
      <c r="E323" s="9" t="s">
        <v>5</v>
      </c>
      <c r="F323" s="9" t="s">
        <v>1779</v>
      </c>
      <c r="G323" s="10" t="n">
        <v>41618</v>
      </c>
      <c r="H323" s="9" t="s">
        <v>268</v>
      </c>
      <c r="I323" s="10" t="n">
        <v>43446</v>
      </c>
      <c r="J323" s="9" t="s">
        <v>244</v>
      </c>
      <c r="K323" s="9" t="s">
        <v>778</v>
      </c>
      <c r="L323" s="9" t="s">
        <v>1780</v>
      </c>
      <c r="M323" s="9" t="s">
        <v>244</v>
      </c>
      <c r="N323" s="9" t="n">
        <v>1</v>
      </c>
      <c r="O323" s="9" t="n">
        <v>1</v>
      </c>
      <c r="P323" s="9" t="str">
        <f aca="false">HYPERLINK("https://www.cqc.org.uk/location/1-1113864424","https://www.cqc.org.uk/location/1-1113864424")</f>
        <v>https://www.cqc.org.uk/location/1-1113864424</v>
      </c>
      <c r="Q323" s="9" t="s">
        <v>1781</v>
      </c>
      <c r="R323" s="10" t="n">
        <v>46266</v>
      </c>
      <c r="S323" s="10" t="n">
        <v>46267</v>
      </c>
      <c r="T323" s="10" t="n">
        <v>46273</v>
      </c>
      <c r="U323" s="9" t="n">
        <v>2340</v>
      </c>
    </row>
    <row r="324" customFormat="false" ht="64" hidden="false" customHeight="true" outlineLevel="0" collapsed="false">
      <c r="A324" s="7" t="s">
        <v>1782</v>
      </c>
      <c r="B324" s="7" t="s">
        <v>1783</v>
      </c>
      <c r="C324" s="7" t="s">
        <v>1784</v>
      </c>
      <c r="D324" s="7" t="s">
        <v>1785</v>
      </c>
      <c r="E324" s="7" t="s">
        <v>5</v>
      </c>
      <c r="F324" s="7" t="s">
        <v>1696</v>
      </c>
      <c r="G324" s="8" t="n">
        <v>45161</v>
      </c>
      <c r="H324" s="7"/>
      <c r="I324" s="8"/>
      <c r="J324" s="7"/>
      <c r="K324" s="7" t="s">
        <v>252</v>
      </c>
      <c r="L324" s="7" t="s">
        <v>289</v>
      </c>
      <c r="M324" s="7" t="s">
        <v>254</v>
      </c>
      <c r="N324" s="7" t="n">
        <v>1</v>
      </c>
      <c r="O324" s="7" t="n">
        <v>1</v>
      </c>
      <c r="P324" s="7" t="str">
        <f aca="false">HYPERLINK("https://www.cqc.org.uk/location/1-16843661147","https://www.cqc.org.uk/location/1-16843661147")</f>
        <v>https://www.cqc.org.uk/location/1-16843661147</v>
      </c>
      <c r="Q324" s="7"/>
      <c r="R324" s="8" t="n">
        <v>46266</v>
      </c>
      <c r="S324" s="8" t="n">
        <v>46267</v>
      </c>
      <c r="T324" s="8" t="n">
        <v>46273</v>
      </c>
      <c r="U324" s="7" t="n">
        <v>17723</v>
      </c>
    </row>
    <row r="325" customFormat="false" ht="64" hidden="false" customHeight="true" outlineLevel="0" collapsed="false">
      <c r="A325" s="9" t="s">
        <v>1786</v>
      </c>
      <c r="B325" s="9" t="s">
        <v>1787</v>
      </c>
      <c r="C325" s="9" t="s">
        <v>1788</v>
      </c>
      <c r="D325" s="9" t="s">
        <v>1789</v>
      </c>
      <c r="E325" s="9" t="s">
        <v>5</v>
      </c>
      <c r="F325" s="9" t="s">
        <v>1790</v>
      </c>
      <c r="G325" s="10" t="n">
        <v>40542</v>
      </c>
      <c r="H325" s="9" t="s">
        <v>268</v>
      </c>
      <c r="I325" s="10" t="n">
        <v>43355</v>
      </c>
      <c r="J325" s="9" t="s">
        <v>244</v>
      </c>
      <c r="K325" s="9" t="s">
        <v>252</v>
      </c>
      <c r="L325" s="9" t="s">
        <v>320</v>
      </c>
      <c r="M325" s="9" t="s">
        <v>254</v>
      </c>
      <c r="N325" s="9" t="n">
        <v>1</v>
      </c>
      <c r="O325" s="9" t="n">
        <v>1</v>
      </c>
      <c r="P325" s="9" t="str">
        <f aca="false">HYPERLINK("https://www.cqc.org.uk/location/1-116145956","https://www.cqc.org.uk/location/1-116145956")</f>
        <v>https://www.cqc.org.uk/location/1-116145956</v>
      </c>
      <c r="Q325" s="9" t="s">
        <v>1791</v>
      </c>
      <c r="R325" s="10" t="n">
        <v>46266</v>
      </c>
      <c r="S325" s="10" t="n">
        <v>46267</v>
      </c>
      <c r="T325" s="10" t="n">
        <v>46273</v>
      </c>
      <c r="U325" s="9" t="n">
        <v>3933</v>
      </c>
    </row>
    <row r="326" customFormat="false" ht="64" hidden="false" customHeight="true" outlineLevel="0" collapsed="false">
      <c r="A326" s="7" t="s">
        <v>1792</v>
      </c>
      <c r="B326" s="7" t="s">
        <v>1793</v>
      </c>
      <c r="C326" s="7" t="s">
        <v>1793</v>
      </c>
      <c r="D326" s="7" t="s">
        <v>1794</v>
      </c>
      <c r="E326" s="7" t="s">
        <v>5</v>
      </c>
      <c r="F326" s="7" t="s">
        <v>1795</v>
      </c>
      <c r="G326" s="8" t="n">
        <v>44424</v>
      </c>
      <c r="H326" s="7" t="s">
        <v>268</v>
      </c>
      <c r="I326" s="8" t="n">
        <v>44951</v>
      </c>
      <c r="J326" s="7" t="s">
        <v>244</v>
      </c>
      <c r="K326" s="7" t="s">
        <v>252</v>
      </c>
      <c r="L326" s="7" t="s">
        <v>289</v>
      </c>
      <c r="M326" s="7" t="s">
        <v>254</v>
      </c>
      <c r="N326" s="7" t="n">
        <v>1</v>
      </c>
      <c r="O326" s="7" t="n">
        <v>1</v>
      </c>
      <c r="P326" s="7" t="str">
        <f aca="false">HYPERLINK("https://www.cqc.org.uk/location/1-11348755534","https://www.cqc.org.uk/location/1-11348755534")</f>
        <v>https://www.cqc.org.uk/location/1-11348755534</v>
      </c>
      <c r="Q326" s="7" t="s">
        <v>1796</v>
      </c>
      <c r="R326" s="8" t="n">
        <v>46266</v>
      </c>
      <c r="S326" s="8" t="n">
        <v>46267</v>
      </c>
      <c r="T326" s="8" t="n">
        <v>46273</v>
      </c>
      <c r="U326" s="7" t="n">
        <v>3024</v>
      </c>
    </row>
    <row r="327" customFormat="false" ht="64" hidden="false" customHeight="true" outlineLevel="0" collapsed="false">
      <c r="A327" s="9" t="s">
        <v>1797</v>
      </c>
      <c r="B327" s="9" t="s">
        <v>1798</v>
      </c>
      <c r="C327" s="9" t="s">
        <v>1798</v>
      </c>
      <c r="D327" s="9" t="s">
        <v>1799</v>
      </c>
      <c r="E327" s="9" t="s">
        <v>5</v>
      </c>
      <c r="F327" s="9" t="s">
        <v>1696</v>
      </c>
      <c r="G327" s="10" t="n">
        <v>45806</v>
      </c>
      <c r="H327" s="9"/>
      <c r="I327" s="10"/>
      <c r="J327" s="9"/>
      <c r="K327" s="9" t="s">
        <v>245</v>
      </c>
      <c r="L327" s="9" t="s">
        <v>302</v>
      </c>
      <c r="M327" s="9" t="s">
        <v>244</v>
      </c>
      <c r="N327" s="9" t="n">
        <v>1</v>
      </c>
      <c r="O327" s="9" t="n">
        <v>1</v>
      </c>
      <c r="P327" s="9" t="str">
        <f aca="false">HYPERLINK("https://www.cqc.org.uk/location/1-23331370689","https://www.cqc.org.uk/location/1-23331370689")</f>
        <v>https://www.cqc.org.uk/location/1-23331370689</v>
      </c>
      <c r="Q327" s="9"/>
      <c r="R327" s="10" t="n">
        <v>46266</v>
      </c>
      <c r="S327" s="10" t="n">
        <v>46267</v>
      </c>
      <c r="T327" s="10" t="n">
        <v>46273</v>
      </c>
      <c r="U327" s="9" t="n">
        <v>30760</v>
      </c>
    </row>
    <row r="328" customFormat="false" ht="64" hidden="false" customHeight="true" outlineLevel="0" collapsed="false">
      <c r="A328" s="7" t="s">
        <v>1800</v>
      </c>
      <c r="B328" s="7" t="s">
        <v>1801</v>
      </c>
      <c r="C328" s="7" t="s">
        <v>1802</v>
      </c>
      <c r="D328" s="7" t="s">
        <v>1803</v>
      </c>
      <c r="E328" s="7" t="s">
        <v>5</v>
      </c>
      <c r="F328" s="7" t="s">
        <v>1696</v>
      </c>
      <c r="G328" s="8" t="n">
        <v>43025</v>
      </c>
      <c r="H328" s="7" t="s">
        <v>268</v>
      </c>
      <c r="I328" s="8" t="n">
        <v>43571</v>
      </c>
      <c r="J328" s="7" t="s">
        <v>244</v>
      </c>
      <c r="K328" s="7" t="s">
        <v>252</v>
      </c>
      <c r="L328" s="7" t="s">
        <v>634</v>
      </c>
      <c r="M328" s="7" t="s">
        <v>254</v>
      </c>
      <c r="N328" s="7" t="n">
        <v>1</v>
      </c>
      <c r="O328" s="7" t="n">
        <v>1</v>
      </c>
      <c r="P328" s="7" t="str">
        <f aca="false">HYPERLINK("https://www.cqc.org.uk/location/1-4375507721","https://www.cqc.org.uk/location/1-4375507721")</f>
        <v>https://www.cqc.org.uk/location/1-4375507721</v>
      </c>
      <c r="Q328" s="7" t="s">
        <v>1804</v>
      </c>
      <c r="R328" s="8" t="n">
        <v>46266</v>
      </c>
      <c r="S328" s="8" t="n">
        <v>46267</v>
      </c>
      <c r="T328" s="8" t="n">
        <v>46273</v>
      </c>
      <c r="U328" s="7" t="n">
        <v>41787</v>
      </c>
    </row>
    <row r="329" customFormat="false" ht="64" hidden="false" customHeight="true" outlineLevel="0" collapsed="false">
      <c r="A329" s="9" t="s">
        <v>1805</v>
      </c>
      <c r="B329" s="9" t="s">
        <v>1806</v>
      </c>
      <c r="C329" s="9" t="s">
        <v>1807</v>
      </c>
      <c r="D329" s="9" t="s">
        <v>1808</v>
      </c>
      <c r="E329" s="9" t="s">
        <v>5</v>
      </c>
      <c r="F329" s="9" t="s">
        <v>1809</v>
      </c>
      <c r="G329" s="10" t="n">
        <v>45539</v>
      </c>
      <c r="H329" s="9" t="s">
        <v>268</v>
      </c>
      <c r="I329" s="10" t="n">
        <v>46127</v>
      </c>
      <c r="J329" s="9" t="s">
        <v>244</v>
      </c>
      <c r="K329" s="9" t="s">
        <v>245</v>
      </c>
      <c r="L329" s="9" t="s">
        <v>1276</v>
      </c>
      <c r="M329" s="9" t="s">
        <v>244</v>
      </c>
      <c r="N329" s="9" t="n">
        <v>7</v>
      </c>
      <c r="O329" s="9" t="n">
        <v>1</v>
      </c>
      <c r="P329" s="9" t="str">
        <f aca="false">HYPERLINK("https://www.cqc.org.uk/location/1-19888295283","https://www.cqc.org.uk/location/1-19888295283")</f>
        <v>https://www.cqc.org.uk/location/1-19888295283</v>
      </c>
      <c r="Q329" s="9"/>
      <c r="R329" s="10" t="n">
        <v>46266</v>
      </c>
      <c r="S329" s="10" t="n">
        <v>46267</v>
      </c>
      <c r="T329" s="10" t="n">
        <v>46273</v>
      </c>
      <c r="U329" s="9" t="n">
        <v>24204</v>
      </c>
    </row>
    <row r="330" customFormat="false" ht="64" hidden="false" customHeight="true" outlineLevel="0" collapsed="false">
      <c r="A330" s="7" t="s">
        <v>1810</v>
      </c>
      <c r="B330" s="7" t="s">
        <v>1811</v>
      </c>
      <c r="C330" s="7" t="s">
        <v>1812</v>
      </c>
      <c r="D330" s="7" t="s">
        <v>1813</v>
      </c>
      <c r="E330" s="7" t="s">
        <v>5</v>
      </c>
      <c r="F330" s="7" t="s">
        <v>1814</v>
      </c>
      <c r="G330" s="8" t="n">
        <v>41681</v>
      </c>
      <c r="H330" s="7" t="s">
        <v>268</v>
      </c>
      <c r="I330" s="8" t="n">
        <v>43560</v>
      </c>
      <c r="J330" s="7" t="s">
        <v>244</v>
      </c>
      <c r="K330" s="7" t="s">
        <v>252</v>
      </c>
      <c r="L330" s="7" t="s">
        <v>1815</v>
      </c>
      <c r="M330" s="7" t="s">
        <v>254</v>
      </c>
      <c r="N330" s="7" t="n">
        <v>1</v>
      </c>
      <c r="O330" s="7" t="n">
        <v>1</v>
      </c>
      <c r="P330" s="7" t="str">
        <f aca="false">HYPERLINK("https://www.cqc.org.uk/location/1-1244572868","https://www.cqc.org.uk/location/1-1244572868")</f>
        <v>https://www.cqc.org.uk/location/1-1244572868</v>
      </c>
      <c r="Q330" s="7" t="s">
        <v>1816</v>
      </c>
      <c r="R330" s="8" t="n">
        <v>46266</v>
      </c>
      <c r="S330" s="8" t="n">
        <v>46267</v>
      </c>
      <c r="T330" s="8" t="n">
        <v>46273</v>
      </c>
      <c r="U330" s="7" t="n">
        <v>7701</v>
      </c>
    </row>
    <row r="331" customFormat="false" ht="64" hidden="false" customHeight="true" outlineLevel="0" collapsed="false">
      <c r="A331" s="9" t="s">
        <v>1817</v>
      </c>
      <c r="B331" s="9" t="s">
        <v>1818</v>
      </c>
      <c r="C331" s="9" t="s">
        <v>1819</v>
      </c>
      <c r="D331" s="9" t="s">
        <v>1820</v>
      </c>
      <c r="E331" s="9" t="s">
        <v>5</v>
      </c>
      <c r="F331" s="9" t="s">
        <v>1821</v>
      </c>
      <c r="G331" s="10" t="n">
        <v>40520</v>
      </c>
      <c r="H331" s="9" t="s">
        <v>268</v>
      </c>
      <c r="I331" s="10" t="n">
        <v>43837</v>
      </c>
      <c r="J331" s="9" t="s">
        <v>244</v>
      </c>
      <c r="K331" s="9" t="s">
        <v>245</v>
      </c>
      <c r="L331" s="9" t="s">
        <v>848</v>
      </c>
      <c r="M331" s="9" t="s">
        <v>244</v>
      </c>
      <c r="N331" s="9" t="n">
        <v>1</v>
      </c>
      <c r="O331" s="9" t="n">
        <v>1</v>
      </c>
      <c r="P331" s="9" t="str">
        <f aca="false">HYPERLINK("https://www.cqc.org.uk/location/1-125147608","https://www.cqc.org.uk/location/1-125147608")</f>
        <v>https://www.cqc.org.uk/location/1-125147608</v>
      </c>
      <c r="Q331" s="9"/>
      <c r="R331" s="10" t="n">
        <v>46266</v>
      </c>
      <c r="S331" s="10" t="n">
        <v>46267</v>
      </c>
      <c r="T331" s="10" t="n">
        <v>46273</v>
      </c>
      <c r="U331" s="9" t="n">
        <v>8021</v>
      </c>
    </row>
    <row r="332" customFormat="false" ht="64" hidden="false" customHeight="true" outlineLevel="0" collapsed="false">
      <c r="A332" s="7" t="s">
        <v>1822</v>
      </c>
      <c r="B332" s="7" t="s">
        <v>1823</v>
      </c>
      <c r="C332" s="7" t="s">
        <v>1824</v>
      </c>
      <c r="D332" s="7" t="s">
        <v>1825</v>
      </c>
      <c r="E332" s="7" t="s">
        <v>5</v>
      </c>
      <c r="F332" s="7" t="s">
        <v>1728</v>
      </c>
      <c r="G332" s="8" t="n">
        <v>43958</v>
      </c>
      <c r="H332" s="7" t="s">
        <v>243</v>
      </c>
      <c r="I332" s="8" t="n">
        <v>44691</v>
      </c>
      <c r="J332" s="7" t="s">
        <v>244</v>
      </c>
      <c r="K332" s="7" t="s">
        <v>252</v>
      </c>
      <c r="L332" s="7" t="s">
        <v>451</v>
      </c>
      <c r="M332" s="7" t="s">
        <v>254</v>
      </c>
      <c r="N332" s="7" t="n">
        <v>1</v>
      </c>
      <c r="O332" s="7" t="n">
        <v>1</v>
      </c>
      <c r="P332" s="7" t="str">
        <f aca="false">HYPERLINK("https://www.cqc.org.uk/location/1-8821432431","https://www.cqc.org.uk/location/1-8821432431")</f>
        <v>https://www.cqc.org.uk/location/1-8821432431</v>
      </c>
      <c r="Q332" s="7"/>
      <c r="R332" s="8" t="n">
        <v>46266</v>
      </c>
      <c r="S332" s="8" t="n">
        <v>46267</v>
      </c>
      <c r="T332" s="8" t="n">
        <v>46273</v>
      </c>
      <c r="U332" s="7" t="n">
        <v>53445</v>
      </c>
    </row>
    <row r="333" customFormat="false" ht="64" hidden="false" customHeight="true" outlineLevel="0" collapsed="false">
      <c r="A333" s="9" t="s">
        <v>1826</v>
      </c>
      <c r="B333" s="9" t="s">
        <v>1827</v>
      </c>
      <c r="C333" s="9" t="s">
        <v>1828</v>
      </c>
      <c r="D333" s="9" t="s">
        <v>1829</v>
      </c>
      <c r="E333" s="9" t="s">
        <v>5</v>
      </c>
      <c r="F333" s="9" t="s">
        <v>1762</v>
      </c>
      <c r="G333" s="10" t="n">
        <v>42355</v>
      </c>
      <c r="H333" s="9" t="s">
        <v>268</v>
      </c>
      <c r="I333" s="10" t="n">
        <v>43818</v>
      </c>
      <c r="J333" s="9" t="s">
        <v>244</v>
      </c>
      <c r="K333" s="9" t="s">
        <v>252</v>
      </c>
      <c r="L333" s="9" t="s">
        <v>1830</v>
      </c>
      <c r="M333" s="9" t="s">
        <v>254</v>
      </c>
      <c r="N333" s="9" t="n">
        <v>1</v>
      </c>
      <c r="O333" s="9" t="n">
        <v>1</v>
      </c>
      <c r="P333" s="9" t="str">
        <f aca="false">HYPERLINK("https://www.cqc.org.uk/location/1-2343703092","https://www.cqc.org.uk/location/1-2343703092")</f>
        <v>https://www.cqc.org.uk/location/1-2343703092</v>
      </c>
      <c r="Q333" s="9"/>
      <c r="R333" s="10" t="n">
        <v>46266</v>
      </c>
      <c r="S333" s="10" t="n">
        <v>46267</v>
      </c>
      <c r="T333" s="10" t="n">
        <v>46273</v>
      </c>
      <c r="U333" s="9" t="n">
        <v>30895</v>
      </c>
    </row>
    <row r="334" customFormat="false" ht="64" hidden="false" customHeight="true" outlineLevel="0" collapsed="false">
      <c r="A334" s="7" t="s">
        <v>1831</v>
      </c>
      <c r="B334" s="7" t="s">
        <v>1832</v>
      </c>
      <c r="C334" s="7" t="s">
        <v>1832</v>
      </c>
      <c r="D334" s="7" t="s">
        <v>1833</v>
      </c>
      <c r="E334" s="7" t="s">
        <v>5</v>
      </c>
      <c r="F334" s="7" t="s">
        <v>1834</v>
      </c>
      <c r="G334" s="8" t="n">
        <v>45078</v>
      </c>
      <c r="H334" s="7"/>
      <c r="I334" s="8"/>
      <c r="J334" s="7"/>
      <c r="K334" s="7" t="s">
        <v>252</v>
      </c>
      <c r="L334" s="7" t="s">
        <v>921</v>
      </c>
      <c r="M334" s="7" t="s">
        <v>254</v>
      </c>
      <c r="N334" s="7" t="n">
        <v>1</v>
      </c>
      <c r="O334" s="7" t="n">
        <v>1</v>
      </c>
      <c r="P334" s="7" t="str">
        <f aca="false">HYPERLINK("https://www.cqc.org.uk/location/1-15976851504","https://www.cqc.org.uk/location/1-15976851504")</f>
        <v>https://www.cqc.org.uk/location/1-15976851504</v>
      </c>
      <c r="Q334" s="7"/>
      <c r="R334" s="8" t="n">
        <v>46266</v>
      </c>
      <c r="S334" s="8" t="n">
        <v>46267</v>
      </c>
      <c r="T334" s="8" t="n">
        <v>46273</v>
      </c>
      <c r="U334" s="7" t="n">
        <v>16872</v>
      </c>
    </row>
    <row r="335" customFormat="false" ht="64" hidden="false" customHeight="true" outlineLevel="0" collapsed="false">
      <c r="A335" s="9" t="s">
        <v>1835</v>
      </c>
      <c r="B335" s="9" t="s">
        <v>1836</v>
      </c>
      <c r="C335" s="9" t="s">
        <v>1837</v>
      </c>
      <c r="D335" s="9" t="s">
        <v>1838</v>
      </c>
      <c r="E335" s="9" t="s">
        <v>5</v>
      </c>
      <c r="F335" s="9" t="s">
        <v>1839</v>
      </c>
      <c r="G335" s="10" t="n">
        <v>44747</v>
      </c>
      <c r="H335" s="9"/>
      <c r="I335" s="10"/>
      <c r="J335" s="9"/>
      <c r="K335" s="9" t="s">
        <v>252</v>
      </c>
      <c r="L335" s="9" t="s">
        <v>1840</v>
      </c>
      <c r="M335" s="9" t="s">
        <v>254</v>
      </c>
      <c r="N335" s="9" t="n">
        <v>3</v>
      </c>
      <c r="O335" s="9" t="n">
        <v>1</v>
      </c>
      <c r="P335" s="9" t="str">
        <f aca="false">HYPERLINK("https://www.cqc.org.uk/location/1-13315892234","https://www.cqc.org.uk/location/1-13315892234")</f>
        <v>https://www.cqc.org.uk/location/1-13315892234</v>
      </c>
      <c r="Q335" s="9" t="s">
        <v>1841</v>
      </c>
      <c r="R335" s="10" t="n">
        <v>46266</v>
      </c>
      <c r="S335" s="10" t="n">
        <v>46267</v>
      </c>
      <c r="T335" s="10" t="n">
        <v>46273</v>
      </c>
      <c r="U335" s="9" t="n">
        <v>11065</v>
      </c>
    </row>
    <row r="336" customFormat="false" ht="64" hidden="false" customHeight="true" outlineLevel="0" collapsed="false">
      <c r="A336" s="7" t="s">
        <v>1842</v>
      </c>
      <c r="B336" s="7" t="s">
        <v>1843</v>
      </c>
      <c r="C336" s="7" t="s">
        <v>1844</v>
      </c>
      <c r="D336" s="7" t="s">
        <v>1845</v>
      </c>
      <c r="E336" s="7" t="s">
        <v>5</v>
      </c>
      <c r="F336" s="7" t="s">
        <v>1846</v>
      </c>
      <c r="G336" s="8" t="n">
        <v>42444</v>
      </c>
      <c r="H336" s="7" t="s">
        <v>243</v>
      </c>
      <c r="I336" s="8" t="n">
        <v>44811</v>
      </c>
      <c r="J336" s="7" t="s">
        <v>244</v>
      </c>
      <c r="K336" s="7" t="s">
        <v>245</v>
      </c>
      <c r="L336" s="7" t="s">
        <v>539</v>
      </c>
      <c r="M336" s="7" t="s">
        <v>244</v>
      </c>
      <c r="N336" s="7" t="n">
        <v>1</v>
      </c>
      <c r="O336" s="7" t="n">
        <v>1</v>
      </c>
      <c r="P336" s="7" t="str">
        <f aca="false">HYPERLINK("https://www.cqc.org.uk/location/1-2489094527","https://www.cqc.org.uk/location/1-2489094527")</f>
        <v>https://www.cqc.org.uk/location/1-2489094527</v>
      </c>
      <c r="Q336" s="7"/>
      <c r="R336" s="8" t="n">
        <v>46266</v>
      </c>
      <c r="S336" s="8" t="n">
        <v>46267</v>
      </c>
      <c r="T336" s="8" t="n">
        <v>46273</v>
      </c>
      <c r="U336" s="7" t="n">
        <v>32861</v>
      </c>
    </row>
    <row r="337" customFormat="false" ht="64" hidden="false" customHeight="true" outlineLevel="0" collapsed="false">
      <c r="A337" s="9" t="s">
        <v>1847</v>
      </c>
      <c r="B337" s="9" t="s">
        <v>1848</v>
      </c>
      <c r="C337" s="9" t="s">
        <v>73</v>
      </c>
      <c r="D337" s="9" t="s">
        <v>77</v>
      </c>
      <c r="E337" s="9" t="s">
        <v>5</v>
      </c>
      <c r="F337" s="9" t="s">
        <v>1849</v>
      </c>
      <c r="G337" s="10" t="n">
        <v>42865</v>
      </c>
      <c r="H337" s="9" t="s">
        <v>268</v>
      </c>
      <c r="I337" s="10" t="n">
        <v>43567</v>
      </c>
      <c r="J337" s="9" t="s">
        <v>244</v>
      </c>
      <c r="K337" s="9" t="s">
        <v>245</v>
      </c>
      <c r="L337" s="9" t="s">
        <v>269</v>
      </c>
      <c r="M337" s="9" t="s">
        <v>244</v>
      </c>
      <c r="N337" s="9" t="n">
        <v>150</v>
      </c>
      <c r="O337" s="9" t="n">
        <v>3</v>
      </c>
      <c r="P337" s="9" t="str">
        <f aca="false">HYPERLINK("https://www.cqc.org.uk/location/1-3805311663","https://www.cqc.org.uk/location/1-3805311663")</f>
        <v>https://www.cqc.org.uk/location/1-3805311663</v>
      </c>
      <c r="Q337" s="9" t="s">
        <v>1166</v>
      </c>
      <c r="R337" s="10" t="n">
        <v>46266</v>
      </c>
      <c r="S337" s="10" t="n">
        <v>46267</v>
      </c>
      <c r="T337" s="10" t="n">
        <v>46273</v>
      </c>
      <c r="U337" s="9" t="n">
        <v>40339</v>
      </c>
    </row>
    <row r="338" customFormat="false" ht="64" hidden="false" customHeight="true" outlineLevel="0" collapsed="false">
      <c r="A338" s="7" t="s">
        <v>142</v>
      </c>
      <c r="B338" s="7" t="s">
        <v>143</v>
      </c>
      <c r="C338" s="7" t="s">
        <v>137</v>
      </c>
      <c r="D338" s="7" t="s">
        <v>141</v>
      </c>
      <c r="E338" s="7" t="s">
        <v>5</v>
      </c>
      <c r="F338" s="7" t="s">
        <v>1850</v>
      </c>
      <c r="G338" s="8" t="n">
        <v>45975</v>
      </c>
      <c r="H338" s="7"/>
      <c r="I338" s="8"/>
      <c r="J338" s="7"/>
      <c r="K338" s="7" t="s">
        <v>245</v>
      </c>
      <c r="L338" s="7" t="s">
        <v>386</v>
      </c>
      <c r="M338" s="7" t="s">
        <v>244</v>
      </c>
      <c r="N338" s="7" t="n">
        <v>2</v>
      </c>
      <c r="O338" s="7" t="n">
        <v>2</v>
      </c>
      <c r="P338" s="7" t="str">
        <f aca="false">HYPERLINK("https://www.cqc.org.uk/location/1-25605647286","https://www.cqc.org.uk/location/1-25605647286")</f>
        <v>https://www.cqc.org.uk/location/1-25605647286</v>
      </c>
      <c r="Q338" s="7"/>
      <c r="R338" s="8" t="n">
        <v>46266</v>
      </c>
      <c r="S338" s="8" t="n">
        <v>46267</v>
      </c>
      <c r="T338" s="8" t="n">
        <v>46273</v>
      </c>
      <c r="U338" s="7" t="n">
        <v>33666</v>
      </c>
    </row>
    <row r="339" customFormat="false" ht="64" hidden="false" customHeight="true" outlineLevel="0" collapsed="false">
      <c r="A339" s="9" t="s">
        <v>1851</v>
      </c>
      <c r="B339" s="9" t="s">
        <v>1852</v>
      </c>
      <c r="C339" s="9" t="s">
        <v>1852</v>
      </c>
      <c r="D339" s="9" t="s">
        <v>1853</v>
      </c>
      <c r="E339" s="9" t="s">
        <v>5</v>
      </c>
      <c r="F339" s="9" t="s">
        <v>1854</v>
      </c>
      <c r="G339" s="10" t="n">
        <v>40554</v>
      </c>
      <c r="H339" s="9" t="s">
        <v>268</v>
      </c>
      <c r="I339" s="10" t="n">
        <v>43582</v>
      </c>
      <c r="J339" s="9" t="s">
        <v>244</v>
      </c>
      <c r="K339" s="9" t="s">
        <v>252</v>
      </c>
      <c r="L339" s="9" t="s">
        <v>386</v>
      </c>
      <c r="M339" s="9" t="s">
        <v>254</v>
      </c>
      <c r="N339" s="9" t="n">
        <v>1</v>
      </c>
      <c r="O339" s="9" t="n">
        <v>1</v>
      </c>
      <c r="P339" s="9" t="str">
        <f aca="false">HYPERLINK("https://www.cqc.org.uk/location/1-122840940","https://www.cqc.org.uk/location/1-122840940")</f>
        <v>https://www.cqc.org.uk/location/1-122840940</v>
      </c>
      <c r="Q339" s="9"/>
      <c r="R339" s="10" t="n">
        <v>46266</v>
      </c>
      <c r="S339" s="10" t="n">
        <v>46267</v>
      </c>
      <c r="T339" s="10" t="n">
        <v>46273</v>
      </c>
      <c r="U339" s="9" t="n">
        <v>7073</v>
      </c>
    </row>
    <row r="340" customFormat="false" ht="64" hidden="false" customHeight="true" outlineLevel="0" collapsed="false">
      <c r="A340" s="7" t="s">
        <v>1855</v>
      </c>
      <c r="B340" s="7" t="s">
        <v>1856</v>
      </c>
      <c r="C340" s="7" t="s">
        <v>1856</v>
      </c>
      <c r="D340" s="7" t="s">
        <v>1857</v>
      </c>
      <c r="E340" s="7" t="s">
        <v>5</v>
      </c>
      <c r="F340" s="7" t="s">
        <v>1858</v>
      </c>
      <c r="G340" s="8" t="n">
        <v>41417</v>
      </c>
      <c r="H340" s="7" t="s">
        <v>268</v>
      </c>
      <c r="I340" s="8" t="n">
        <v>43985</v>
      </c>
      <c r="J340" s="7" t="s">
        <v>244</v>
      </c>
      <c r="K340" s="7" t="s">
        <v>245</v>
      </c>
      <c r="L340" s="7" t="s">
        <v>1001</v>
      </c>
      <c r="M340" s="7" t="s">
        <v>244</v>
      </c>
      <c r="N340" s="7" t="n">
        <v>1</v>
      </c>
      <c r="O340" s="7" t="n">
        <v>1</v>
      </c>
      <c r="P340" s="7" t="str">
        <f aca="false">HYPERLINK("https://www.cqc.org.uk/location/1-744857167","https://www.cqc.org.uk/location/1-744857167")</f>
        <v>https://www.cqc.org.uk/location/1-744857167</v>
      </c>
      <c r="Q340" s="7"/>
      <c r="R340" s="8" t="n">
        <v>46266</v>
      </c>
      <c r="S340" s="8" t="n">
        <v>46267</v>
      </c>
      <c r="T340" s="8" t="n">
        <v>46273</v>
      </c>
      <c r="U340" s="7" t="n">
        <v>51623</v>
      </c>
    </row>
    <row r="341" customFormat="false" ht="64" hidden="false" customHeight="true" outlineLevel="0" collapsed="false">
      <c r="A341" s="9" t="s">
        <v>1859</v>
      </c>
      <c r="B341" s="9" t="s">
        <v>1860</v>
      </c>
      <c r="C341" s="9" t="s">
        <v>1861</v>
      </c>
      <c r="D341" s="9" t="s">
        <v>1862</v>
      </c>
      <c r="E341" s="9" t="s">
        <v>5</v>
      </c>
      <c r="F341" s="9" t="s">
        <v>1863</v>
      </c>
      <c r="G341" s="10" t="n">
        <v>44096</v>
      </c>
      <c r="H341" s="9" t="s">
        <v>243</v>
      </c>
      <c r="I341" s="10" t="n">
        <v>44748</v>
      </c>
      <c r="J341" s="9" t="s">
        <v>244</v>
      </c>
      <c r="K341" s="9" t="s">
        <v>252</v>
      </c>
      <c r="L341" s="9" t="s">
        <v>1148</v>
      </c>
      <c r="M341" s="9" t="s">
        <v>254</v>
      </c>
      <c r="N341" s="9" t="n">
        <v>2</v>
      </c>
      <c r="O341" s="9" t="n">
        <v>1</v>
      </c>
      <c r="P341" s="9" t="str">
        <f aca="false">HYPERLINK("https://www.cqc.org.uk/location/1-9566440971","https://www.cqc.org.uk/location/1-9566440971")</f>
        <v>https://www.cqc.org.uk/location/1-9566440971</v>
      </c>
      <c r="Q341" s="9" t="s">
        <v>1864</v>
      </c>
      <c r="R341" s="10" t="n">
        <v>46266</v>
      </c>
      <c r="S341" s="10" t="n">
        <v>46267</v>
      </c>
      <c r="T341" s="10" t="n">
        <v>46273</v>
      </c>
      <c r="U341" s="9" t="n">
        <v>54552</v>
      </c>
    </row>
    <row r="342" customFormat="false" ht="64" hidden="false" customHeight="true" outlineLevel="0" collapsed="false">
      <c r="A342" s="7" t="s">
        <v>1865</v>
      </c>
      <c r="B342" s="7" t="s">
        <v>1866</v>
      </c>
      <c r="C342" s="7" t="s">
        <v>1867</v>
      </c>
      <c r="D342" s="7" t="s">
        <v>1868</v>
      </c>
      <c r="E342" s="7" t="s">
        <v>5</v>
      </c>
      <c r="F342" s="7" t="s">
        <v>1869</v>
      </c>
      <c r="G342" s="8" t="n">
        <v>43026</v>
      </c>
      <c r="H342" s="7" t="s">
        <v>268</v>
      </c>
      <c r="I342" s="8" t="n">
        <v>43543</v>
      </c>
      <c r="J342" s="7" t="s">
        <v>244</v>
      </c>
      <c r="K342" s="7" t="s">
        <v>252</v>
      </c>
      <c r="L342" s="7" t="s">
        <v>1870</v>
      </c>
      <c r="M342" s="7" t="s">
        <v>254</v>
      </c>
      <c r="N342" s="7" t="n">
        <v>1</v>
      </c>
      <c r="O342" s="7" t="n">
        <v>1</v>
      </c>
      <c r="P342" s="7" t="str">
        <f aca="false">HYPERLINK("https://www.cqc.org.uk/location/1-4401675978","https://www.cqc.org.uk/location/1-4401675978")</f>
        <v>https://www.cqc.org.uk/location/1-4401675978</v>
      </c>
      <c r="Q342" s="7"/>
      <c r="R342" s="8" t="n">
        <v>46266</v>
      </c>
      <c r="S342" s="8" t="n">
        <v>46267</v>
      </c>
      <c r="T342" s="8" t="n">
        <v>46273</v>
      </c>
      <c r="U342" s="7" t="n">
        <v>41857</v>
      </c>
    </row>
    <row r="343" customFormat="false" ht="64" hidden="false" customHeight="true" outlineLevel="0" collapsed="false">
      <c r="A343" s="9" t="s">
        <v>1871</v>
      </c>
      <c r="B343" s="9" t="s">
        <v>1872</v>
      </c>
      <c r="C343" s="9" t="s">
        <v>1873</v>
      </c>
      <c r="D343" s="9" t="s">
        <v>1874</v>
      </c>
      <c r="E343" s="9" t="s">
        <v>5</v>
      </c>
      <c r="F343" s="9" t="s">
        <v>1875</v>
      </c>
      <c r="G343" s="10" t="n">
        <v>42009</v>
      </c>
      <c r="H343" s="9" t="s">
        <v>243</v>
      </c>
      <c r="I343" s="10" t="n">
        <v>44876</v>
      </c>
      <c r="J343" s="9" t="s">
        <v>244</v>
      </c>
      <c r="K343" s="9" t="s">
        <v>252</v>
      </c>
      <c r="L343" s="9" t="s">
        <v>887</v>
      </c>
      <c r="M343" s="9" t="s">
        <v>254</v>
      </c>
      <c r="N343" s="9" t="n">
        <v>1</v>
      </c>
      <c r="O343" s="9" t="n">
        <v>1</v>
      </c>
      <c r="P343" s="9" t="str">
        <f aca="false">HYPERLINK("https://www.cqc.org.uk/location/1-1859392140","https://www.cqc.org.uk/location/1-1859392140")</f>
        <v>https://www.cqc.org.uk/location/1-1859392140</v>
      </c>
      <c r="Q343" s="9" t="s">
        <v>1876</v>
      </c>
      <c r="R343" s="10" t="n">
        <v>46266</v>
      </c>
      <c r="S343" s="10" t="n">
        <v>46267</v>
      </c>
      <c r="T343" s="10" t="n">
        <v>46273</v>
      </c>
      <c r="U343" s="9" t="n">
        <v>20165</v>
      </c>
    </row>
    <row r="344" customFormat="false" ht="64" hidden="false" customHeight="true" outlineLevel="0" collapsed="false">
      <c r="A344" s="7" t="s">
        <v>1877</v>
      </c>
      <c r="B344" s="7" t="s">
        <v>1878</v>
      </c>
      <c r="C344" s="7" t="s">
        <v>1879</v>
      </c>
      <c r="D344" s="7" t="s">
        <v>1880</v>
      </c>
      <c r="E344" s="7" t="s">
        <v>5</v>
      </c>
      <c r="F344" s="7" t="s">
        <v>1881</v>
      </c>
      <c r="G344" s="8" t="n">
        <v>44355</v>
      </c>
      <c r="H344" s="7" t="s">
        <v>268</v>
      </c>
      <c r="I344" s="8" t="n">
        <v>44933</v>
      </c>
      <c r="J344" s="7" t="s">
        <v>244</v>
      </c>
      <c r="K344" s="7" t="s">
        <v>245</v>
      </c>
      <c r="L344" s="7" t="s">
        <v>509</v>
      </c>
      <c r="M344" s="7" t="s">
        <v>244</v>
      </c>
      <c r="N344" s="7" t="n">
        <v>2</v>
      </c>
      <c r="O344" s="7" t="n">
        <v>1</v>
      </c>
      <c r="P344" s="7" t="str">
        <f aca="false">HYPERLINK("https://www.cqc.org.uk/location/1-10964383219","https://www.cqc.org.uk/location/1-10964383219")</f>
        <v>https://www.cqc.org.uk/location/1-10964383219</v>
      </c>
      <c r="Q344" s="7" t="s">
        <v>1882</v>
      </c>
      <c r="R344" s="8" t="n">
        <v>46266</v>
      </c>
      <c r="S344" s="8" t="n">
        <v>46267</v>
      </c>
      <c r="T344" s="8" t="n">
        <v>46273</v>
      </c>
      <c r="U344" s="7" t="n">
        <v>1833</v>
      </c>
    </row>
    <row r="345" customFormat="false" ht="64" hidden="false" customHeight="true" outlineLevel="0" collapsed="false">
      <c r="A345" s="9" t="s">
        <v>1883</v>
      </c>
      <c r="B345" s="9" t="s">
        <v>1884</v>
      </c>
      <c r="C345" s="9" t="s">
        <v>1885</v>
      </c>
      <c r="D345" s="9" t="s">
        <v>1886</v>
      </c>
      <c r="E345" s="9" t="s">
        <v>5</v>
      </c>
      <c r="F345" s="9" t="s">
        <v>1887</v>
      </c>
      <c r="G345" s="10" t="n">
        <v>42997</v>
      </c>
      <c r="H345" s="9" t="s">
        <v>268</v>
      </c>
      <c r="I345" s="10" t="n">
        <v>43770</v>
      </c>
      <c r="J345" s="9" t="s">
        <v>244</v>
      </c>
      <c r="K345" s="9" t="s">
        <v>245</v>
      </c>
      <c r="L345" s="9" t="s">
        <v>805</v>
      </c>
      <c r="M345" s="9" t="s">
        <v>244</v>
      </c>
      <c r="N345" s="9" t="n">
        <v>1</v>
      </c>
      <c r="O345" s="9" t="n">
        <v>1</v>
      </c>
      <c r="P345" s="9" t="str">
        <f aca="false">HYPERLINK("https://www.cqc.org.uk/location/1-4259095707","https://www.cqc.org.uk/location/1-4259095707")</f>
        <v>https://www.cqc.org.uk/location/1-4259095707</v>
      </c>
      <c r="Q345" s="9"/>
      <c r="R345" s="10" t="n">
        <v>46266</v>
      </c>
      <c r="S345" s="10" t="n">
        <v>46267</v>
      </c>
      <c r="T345" s="10" t="n">
        <v>46273</v>
      </c>
      <c r="U345" s="9" t="n">
        <v>41496</v>
      </c>
    </row>
    <row r="346" customFormat="false" ht="64" hidden="false" customHeight="true" outlineLevel="0" collapsed="false">
      <c r="A346" s="7" t="s">
        <v>1888</v>
      </c>
      <c r="B346" s="7" t="s">
        <v>1889</v>
      </c>
      <c r="C346" s="7" t="s">
        <v>1889</v>
      </c>
      <c r="D346" s="7" t="s">
        <v>1890</v>
      </c>
      <c r="E346" s="7" t="s">
        <v>5</v>
      </c>
      <c r="F346" s="7" t="s">
        <v>1891</v>
      </c>
      <c r="G346" s="8" t="n">
        <v>42654</v>
      </c>
      <c r="H346" s="7" t="s">
        <v>268</v>
      </c>
      <c r="I346" s="8" t="n">
        <v>43869</v>
      </c>
      <c r="J346" s="7" t="s">
        <v>244</v>
      </c>
      <c r="K346" s="7" t="s">
        <v>245</v>
      </c>
      <c r="L346" s="7" t="s">
        <v>386</v>
      </c>
      <c r="M346" s="7" t="s">
        <v>244</v>
      </c>
      <c r="N346" s="7" t="n">
        <v>1</v>
      </c>
      <c r="O346" s="7" t="n">
        <v>1</v>
      </c>
      <c r="P346" s="7" t="str">
        <f aca="false">HYPERLINK("https://www.cqc.org.uk/location/1-2912651036","https://www.cqc.org.uk/location/1-2912651036")</f>
        <v>https://www.cqc.org.uk/location/1-2912651036</v>
      </c>
      <c r="Q346" s="7" t="s">
        <v>1892</v>
      </c>
      <c r="R346" s="8" t="n">
        <v>46266</v>
      </c>
      <c r="S346" s="8" t="n">
        <v>46267</v>
      </c>
      <c r="T346" s="8" t="n">
        <v>46273</v>
      </c>
      <c r="U346" s="7" t="n">
        <v>37740</v>
      </c>
    </row>
    <row r="347" customFormat="false" ht="64" hidden="false" customHeight="true" outlineLevel="0" collapsed="false">
      <c r="A347" s="9" t="s">
        <v>1893</v>
      </c>
      <c r="B347" s="9" t="s">
        <v>1894</v>
      </c>
      <c r="C347" s="9" t="s">
        <v>1895</v>
      </c>
      <c r="D347" s="9" t="s">
        <v>1896</v>
      </c>
      <c r="E347" s="9" t="s">
        <v>5</v>
      </c>
      <c r="F347" s="9" t="s">
        <v>1897</v>
      </c>
      <c r="G347" s="10" t="n">
        <v>41919</v>
      </c>
      <c r="H347" s="9" t="s">
        <v>268</v>
      </c>
      <c r="I347" s="10" t="n">
        <v>43623</v>
      </c>
      <c r="J347" s="9" t="s">
        <v>244</v>
      </c>
      <c r="K347" s="9" t="s">
        <v>245</v>
      </c>
      <c r="L347" s="9" t="s">
        <v>772</v>
      </c>
      <c r="M347" s="9" t="s">
        <v>244</v>
      </c>
      <c r="N347" s="9" t="n">
        <v>1</v>
      </c>
      <c r="O347" s="9" t="n">
        <v>1</v>
      </c>
      <c r="P347" s="9" t="str">
        <f aca="false">HYPERLINK("https://www.cqc.org.uk/location/1-1709403228","https://www.cqc.org.uk/location/1-1709403228")</f>
        <v>https://www.cqc.org.uk/location/1-1709403228</v>
      </c>
      <c r="Q347" s="9" t="s">
        <v>1898</v>
      </c>
      <c r="R347" s="10" t="n">
        <v>46266</v>
      </c>
      <c r="S347" s="10" t="n">
        <v>46267</v>
      </c>
      <c r="T347" s="10" t="n">
        <v>46273</v>
      </c>
      <c r="U347" s="9" t="n">
        <v>18000</v>
      </c>
    </row>
    <row r="348" customFormat="false" ht="64" hidden="false" customHeight="true" outlineLevel="0" collapsed="false">
      <c r="A348" s="7" t="s">
        <v>1899</v>
      </c>
      <c r="B348" s="7" t="s">
        <v>1900</v>
      </c>
      <c r="C348" s="7" t="s">
        <v>1901</v>
      </c>
      <c r="D348" s="7" t="s">
        <v>1902</v>
      </c>
      <c r="E348" s="7" t="s">
        <v>5</v>
      </c>
      <c r="F348" s="7" t="s">
        <v>1903</v>
      </c>
      <c r="G348" s="8" t="n">
        <v>41658</v>
      </c>
      <c r="H348" s="7" t="s">
        <v>268</v>
      </c>
      <c r="I348" s="8" t="n">
        <v>43582</v>
      </c>
      <c r="J348" s="7" t="s">
        <v>244</v>
      </c>
      <c r="K348" s="7" t="s">
        <v>252</v>
      </c>
      <c r="L348" s="7" t="s">
        <v>427</v>
      </c>
      <c r="M348" s="7" t="s">
        <v>254</v>
      </c>
      <c r="N348" s="7" t="n">
        <v>1</v>
      </c>
      <c r="O348" s="7" t="n">
        <v>1</v>
      </c>
      <c r="P348" s="7" t="str">
        <f aca="false">HYPERLINK("https://www.cqc.org.uk/location/1-1107042902","https://www.cqc.org.uk/location/1-1107042902")</f>
        <v>https://www.cqc.org.uk/location/1-1107042902</v>
      </c>
      <c r="Q348" s="7"/>
      <c r="R348" s="8" t="n">
        <v>46266</v>
      </c>
      <c r="S348" s="8" t="n">
        <v>46267</v>
      </c>
      <c r="T348" s="8" t="n">
        <v>46273</v>
      </c>
      <c r="U348" s="7" t="n">
        <v>2143</v>
      </c>
    </row>
    <row r="349" customFormat="false" ht="64" hidden="false" customHeight="true" outlineLevel="0" collapsed="false">
      <c r="A349" s="9" t="s">
        <v>1904</v>
      </c>
      <c r="B349" s="9" t="s">
        <v>1905</v>
      </c>
      <c r="C349" s="9" t="s">
        <v>1906</v>
      </c>
      <c r="D349" s="9" t="s">
        <v>1907</v>
      </c>
      <c r="E349" s="9" t="s">
        <v>5</v>
      </c>
      <c r="F349" s="9" t="s">
        <v>1908</v>
      </c>
      <c r="G349" s="10" t="n">
        <v>40730</v>
      </c>
      <c r="H349" s="9" t="s">
        <v>268</v>
      </c>
      <c r="I349" s="10" t="n">
        <v>43581</v>
      </c>
      <c r="J349" s="9" t="s">
        <v>244</v>
      </c>
      <c r="K349" s="9" t="s">
        <v>245</v>
      </c>
      <c r="L349" s="9" t="s">
        <v>509</v>
      </c>
      <c r="M349" s="9" t="s">
        <v>244</v>
      </c>
      <c r="N349" s="9" t="n">
        <v>1</v>
      </c>
      <c r="O349" s="9" t="n">
        <v>1</v>
      </c>
      <c r="P349" s="9" t="str">
        <f aca="false">HYPERLINK("https://www.cqc.org.uk/location/1-274169618","https://www.cqc.org.uk/location/1-274169618")</f>
        <v>https://www.cqc.org.uk/location/1-274169618</v>
      </c>
      <c r="Q349" s="9" t="s">
        <v>1371</v>
      </c>
      <c r="R349" s="10" t="n">
        <v>46266</v>
      </c>
      <c r="S349" s="10" t="n">
        <v>46267</v>
      </c>
      <c r="T349" s="10" t="n">
        <v>46273</v>
      </c>
      <c r="U349" s="9" t="n">
        <v>35957</v>
      </c>
    </row>
    <row r="350" customFormat="false" ht="64" hidden="false" customHeight="true" outlineLevel="0" collapsed="false">
      <c r="A350" s="7" t="s">
        <v>93</v>
      </c>
      <c r="B350" s="7" t="s">
        <v>94</v>
      </c>
      <c r="C350" s="7" t="s">
        <v>88</v>
      </c>
      <c r="D350" s="7" t="s">
        <v>92</v>
      </c>
      <c r="E350" s="7" t="s">
        <v>5</v>
      </c>
      <c r="F350" s="7" t="s">
        <v>1909</v>
      </c>
      <c r="G350" s="8" t="n">
        <v>44224</v>
      </c>
      <c r="H350" s="7" t="s">
        <v>268</v>
      </c>
      <c r="I350" s="8" t="n">
        <v>44952</v>
      </c>
      <c r="J350" s="7" t="s">
        <v>244</v>
      </c>
      <c r="K350" s="7" t="s">
        <v>914</v>
      </c>
      <c r="L350" s="7" t="s">
        <v>1026</v>
      </c>
      <c r="M350" s="7" t="s">
        <v>244</v>
      </c>
      <c r="N350" s="7" t="n">
        <v>6</v>
      </c>
      <c r="O350" s="7" t="n">
        <v>3</v>
      </c>
      <c r="P350" s="7" t="str">
        <f aca="false">HYPERLINK("https://www.cqc.org.uk/location/1-10285717693","https://www.cqc.org.uk/location/1-10285717693")</f>
        <v>https://www.cqc.org.uk/location/1-10285717693</v>
      </c>
      <c r="Q350" s="7" t="s">
        <v>1568</v>
      </c>
      <c r="R350" s="8" t="n">
        <v>46266</v>
      </c>
      <c r="S350" s="8" t="n">
        <v>46267</v>
      </c>
      <c r="T350" s="8" t="n">
        <v>46273</v>
      </c>
      <c r="U350" s="7" t="n">
        <v>391</v>
      </c>
    </row>
    <row r="351" customFormat="false" ht="64" hidden="false" customHeight="true" outlineLevel="0" collapsed="false">
      <c r="A351" s="9" t="s">
        <v>1910</v>
      </c>
      <c r="B351" s="9" t="s">
        <v>1911</v>
      </c>
      <c r="C351" s="9" t="s">
        <v>1911</v>
      </c>
      <c r="D351" s="9" t="s">
        <v>1912</v>
      </c>
      <c r="E351" s="9" t="s">
        <v>5</v>
      </c>
      <c r="F351" s="9" t="s">
        <v>1913</v>
      </c>
      <c r="G351" s="10" t="n">
        <v>41092</v>
      </c>
      <c r="H351" s="9" t="s">
        <v>268</v>
      </c>
      <c r="I351" s="10" t="n">
        <v>43797</v>
      </c>
      <c r="J351" s="9" t="s">
        <v>244</v>
      </c>
      <c r="K351" s="9" t="s">
        <v>560</v>
      </c>
      <c r="L351" s="9" t="s">
        <v>543</v>
      </c>
      <c r="M351" s="9" t="s">
        <v>244</v>
      </c>
      <c r="N351" s="9" t="n">
        <v>1</v>
      </c>
      <c r="O351" s="9" t="n">
        <v>1</v>
      </c>
      <c r="P351" s="9" t="str">
        <f aca="false">HYPERLINK("https://www.cqc.org.uk/location/1-433777313","https://www.cqc.org.uk/location/1-433777313")</f>
        <v>https://www.cqc.org.uk/location/1-433777313</v>
      </c>
      <c r="Q351" s="9" t="s">
        <v>1914</v>
      </c>
      <c r="R351" s="10" t="n">
        <v>46266</v>
      </c>
      <c r="S351" s="10" t="n">
        <v>46267</v>
      </c>
      <c r="T351" s="10" t="n">
        <v>46273</v>
      </c>
      <c r="U351" s="9" t="n">
        <v>41682</v>
      </c>
    </row>
    <row r="352" customFormat="false" ht="64" hidden="false" customHeight="true" outlineLevel="0" collapsed="false">
      <c r="A352" s="7" t="s">
        <v>1915</v>
      </c>
      <c r="B352" s="7" t="s">
        <v>1916</v>
      </c>
      <c r="C352" s="7" t="s">
        <v>1917</v>
      </c>
      <c r="D352" s="7" t="s">
        <v>1918</v>
      </c>
      <c r="E352" s="7" t="s">
        <v>5</v>
      </c>
      <c r="F352" s="7" t="s">
        <v>1758</v>
      </c>
      <c r="G352" s="8" t="n">
        <v>45258</v>
      </c>
      <c r="H352" s="7"/>
      <c r="I352" s="8"/>
      <c r="J352" s="7"/>
      <c r="K352" s="7" t="s">
        <v>245</v>
      </c>
      <c r="L352" s="7" t="s">
        <v>848</v>
      </c>
      <c r="M352" s="7" t="s">
        <v>244</v>
      </c>
      <c r="N352" s="7" t="n">
        <v>1</v>
      </c>
      <c r="O352" s="7" t="n">
        <v>1</v>
      </c>
      <c r="P352" s="7" t="str">
        <f aca="false">HYPERLINK("https://www.cqc.org.uk/location/1-18117564569","https://www.cqc.org.uk/location/1-18117564569")</f>
        <v>https://www.cqc.org.uk/location/1-18117564569</v>
      </c>
      <c r="Q352" s="7" t="s">
        <v>1919</v>
      </c>
      <c r="R352" s="8" t="n">
        <v>46266</v>
      </c>
      <c r="S352" s="8" t="n">
        <v>46267</v>
      </c>
      <c r="T352" s="8" t="n">
        <v>46273</v>
      </c>
      <c r="U352" s="7" t="n">
        <v>19377</v>
      </c>
    </row>
    <row r="353" customFormat="false" ht="64" hidden="false" customHeight="true" outlineLevel="0" collapsed="false">
      <c r="A353" s="9" t="s">
        <v>1920</v>
      </c>
      <c r="B353" s="9" t="s">
        <v>1921</v>
      </c>
      <c r="C353" s="9" t="s">
        <v>1922</v>
      </c>
      <c r="D353" s="9" t="s">
        <v>1923</v>
      </c>
      <c r="E353" s="9" t="s">
        <v>5</v>
      </c>
      <c r="F353" s="9" t="s">
        <v>1696</v>
      </c>
      <c r="G353" s="10" t="n">
        <v>45000</v>
      </c>
      <c r="H353" s="9" t="s">
        <v>260</v>
      </c>
      <c r="I353" s="10"/>
      <c r="J353" s="9" t="s">
        <v>244</v>
      </c>
      <c r="K353" s="9" t="s">
        <v>252</v>
      </c>
      <c r="L353" s="9" t="s">
        <v>364</v>
      </c>
      <c r="M353" s="9" t="s">
        <v>254</v>
      </c>
      <c r="N353" s="9" t="n">
        <v>1</v>
      </c>
      <c r="O353" s="9" t="n">
        <v>1</v>
      </c>
      <c r="P353" s="9" t="str">
        <f aca="false">HYPERLINK("https://www.cqc.org.uk/location/1-15198050298","https://www.cqc.org.uk/location/1-15198050298")</f>
        <v>https://www.cqc.org.uk/location/1-15198050298</v>
      </c>
      <c r="Q353" s="9"/>
      <c r="R353" s="10" t="n">
        <v>46266</v>
      </c>
      <c r="S353" s="10" t="n">
        <v>46267</v>
      </c>
      <c r="T353" s="10" t="n">
        <v>46273</v>
      </c>
      <c r="U353" s="9" t="n">
        <v>15617</v>
      </c>
    </row>
    <row r="354" customFormat="false" ht="64" hidden="false" customHeight="true" outlineLevel="0" collapsed="false">
      <c r="A354" s="7" t="s">
        <v>1924</v>
      </c>
      <c r="B354" s="7" t="s">
        <v>1925</v>
      </c>
      <c r="C354" s="7" t="s">
        <v>1926</v>
      </c>
      <c r="D354" s="7" t="s">
        <v>1927</v>
      </c>
      <c r="E354" s="7" t="s">
        <v>5</v>
      </c>
      <c r="F354" s="7" t="s">
        <v>1928</v>
      </c>
      <c r="G354" s="8" t="n">
        <v>43753</v>
      </c>
      <c r="H354" s="7" t="s">
        <v>1147</v>
      </c>
      <c r="I354" s="8" t="n">
        <v>44435</v>
      </c>
      <c r="J354" s="7" t="s">
        <v>244</v>
      </c>
      <c r="K354" s="7" t="s">
        <v>245</v>
      </c>
      <c r="L354" s="7" t="s">
        <v>386</v>
      </c>
      <c r="M354" s="7" t="s">
        <v>244</v>
      </c>
      <c r="N354" s="7" t="n">
        <v>2</v>
      </c>
      <c r="O354" s="7" t="n">
        <v>1</v>
      </c>
      <c r="P354" s="7" t="str">
        <f aca="false">HYPERLINK("https://www.cqc.org.uk/location/1-7601685405","https://www.cqc.org.uk/location/1-7601685405")</f>
        <v>https://www.cqc.org.uk/location/1-7601685405</v>
      </c>
      <c r="Q354" s="7" t="s">
        <v>1929</v>
      </c>
      <c r="R354" s="8" t="n">
        <v>46266</v>
      </c>
      <c r="S354" s="8" t="n">
        <v>46267</v>
      </c>
      <c r="T354" s="8" t="n">
        <v>46273</v>
      </c>
      <c r="U354" s="7" t="n">
        <v>51855</v>
      </c>
    </row>
    <row r="355" customFormat="false" ht="64" hidden="false" customHeight="true" outlineLevel="0" collapsed="false">
      <c r="A355" s="9" t="s">
        <v>1930</v>
      </c>
      <c r="B355" s="9" t="s">
        <v>1931</v>
      </c>
      <c r="C355" s="9" t="s">
        <v>1931</v>
      </c>
      <c r="D355" s="9" t="s">
        <v>1932</v>
      </c>
      <c r="E355" s="9" t="s">
        <v>5</v>
      </c>
      <c r="F355" s="9" t="s">
        <v>1933</v>
      </c>
      <c r="G355" s="10" t="n">
        <v>44651</v>
      </c>
      <c r="H355" s="9" t="s">
        <v>268</v>
      </c>
      <c r="I355" s="10" t="n">
        <v>45825</v>
      </c>
      <c r="J355" s="9" t="s">
        <v>244</v>
      </c>
      <c r="K355" s="9" t="s">
        <v>245</v>
      </c>
      <c r="L355" s="9" t="s">
        <v>1934</v>
      </c>
      <c r="M355" s="9" t="s">
        <v>244</v>
      </c>
      <c r="N355" s="9" t="n">
        <v>1</v>
      </c>
      <c r="O355" s="9" t="n">
        <v>1</v>
      </c>
      <c r="P355" s="9" t="str">
        <f aca="false">HYPERLINK("https://www.cqc.org.uk/location/1-12873726136","https://www.cqc.org.uk/location/1-12873726136")</f>
        <v>https://www.cqc.org.uk/location/1-12873726136</v>
      </c>
      <c r="Q355" s="9"/>
      <c r="R355" s="10" t="n">
        <v>46266</v>
      </c>
      <c r="S355" s="10" t="n">
        <v>46267</v>
      </c>
      <c r="T355" s="10" t="n">
        <v>46273</v>
      </c>
      <c r="U355" s="9" t="n">
        <v>9562</v>
      </c>
    </row>
    <row r="356" customFormat="false" ht="64" hidden="false" customHeight="true" outlineLevel="0" collapsed="false">
      <c r="A356" s="7" t="s">
        <v>71</v>
      </c>
      <c r="B356" s="7" t="s">
        <v>72</v>
      </c>
      <c r="C356" s="7" t="s">
        <v>66</v>
      </c>
      <c r="D356" s="7" t="s">
        <v>70</v>
      </c>
      <c r="E356" s="7" t="s">
        <v>5</v>
      </c>
      <c r="F356" s="7" t="s">
        <v>1935</v>
      </c>
      <c r="G356" s="8" t="n">
        <v>45019</v>
      </c>
      <c r="H356" s="7" t="s">
        <v>268</v>
      </c>
      <c r="I356" s="8" t="n">
        <v>46254</v>
      </c>
      <c r="J356" s="7" t="s">
        <v>244</v>
      </c>
      <c r="K356" s="7" t="s">
        <v>245</v>
      </c>
      <c r="L356" s="7" t="s">
        <v>405</v>
      </c>
      <c r="M356" s="7" t="s">
        <v>244</v>
      </c>
      <c r="N356" s="7" t="n">
        <v>123</v>
      </c>
      <c r="O356" s="7" t="n">
        <v>4</v>
      </c>
      <c r="P356" s="7" t="str">
        <f aca="false">HYPERLINK("https://www.cqc.org.uk/location/1-15348190190","https://www.cqc.org.uk/location/1-15348190190")</f>
        <v>https://www.cqc.org.uk/location/1-15348190190</v>
      </c>
      <c r="Q356" s="7" t="s">
        <v>1680</v>
      </c>
      <c r="R356" s="8" t="n">
        <v>46266</v>
      </c>
      <c r="S356" s="8" t="n">
        <v>46267</v>
      </c>
      <c r="T356" s="8" t="n">
        <v>46273</v>
      </c>
      <c r="U356" s="7" t="n">
        <v>15972</v>
      </c>
    </row>
    <row r="357" customFormat="false" ht="64" hidden="false" customHeight="true" outlineLevel="0" collapsed="false">
      <c r="A357" s="9" t="s">
        <v>1936</v>
      </c>
      <c r="B357" s="9" t="s">
        <v>1937</v>
      </c>
      <c r="C357" s="9" t="s">
        <v>66</v>
      </c>
      <c r="D357" s="9" t="s">
        <v>70</v>
      </c>
      <c r="E357" s="9" t="s">
        <v>5</v>
      </c>
      <c r="F357" s="9" t="s">
        <v>1938</v>
      </c>
      <c r="G357" s="10" t="n">
        <v>42283</v>
      </c>
      <c r="H357" s="9" t="s">
        <v>268</v>
      </c>
      <c r="I357" s="10" t="n">
        <v>43732</v>
      </c>
      <c r="J357" s="9" t="s">
        <v>244</v>
      </c>
      <c r="K357" s="9" t="s">
        <v>245</v>
      </c>
      <c r="L357" s="9" t="s">
        <v>405</v>
      </c>
      <c r="M357" s="9" t="s">
        <v>244</v>
      </c>
      <c r="N357" s="9" t="n">
        <v>123</v>
      </c>
      <c r="O357" s="9" t="n">
        <v>4</v>
      </c>
      <c r="P357" s="9" t="str">
        <f aca="false">HYPERLINK("https://www.cqc.org.uk/location/1-2192880602","https://www.cqc.org.uk/location/1-2192880602")</f>
        <v>https://www.cqc.org.uk/location/1-2192880602</v>
      </c>
      <c r="Q357" s="9" t="s">
        <v>1680</v>
      </c>
      <c r="R357" s="10" t="n">
        <v>46266</v>
      </c>
      <c r="S357" s="10" t="n">
        <v>46267</v>
      </c>
      <c r="T357" s="10" t="n">
        <v>46273</v>
      </c>
      <c r="U357" s="9" t="n">
        <v>28292</v>
      </c>
    </row>
    <row r="358" customFormat="false" ht="64" hidden="false" customHeight="true" outlineLevel="0" collapsed="false">
      <c r="A358" s="7" t="s">
        <v>1939</v>
      </c>
      <c r="B358" s="7" t="s">
        <v>1940</v>
      </c>
      <c r="C358" s="7" t="s">
        <v>1940</v>
      </c>
      <c r="D358" s="7" t="s">
        <v>1941</v>
      </c>
      <c r="E358" s="7" t="s">
        <v>5</v>
      </c>
      <c r="F358" s="7" t="s">
        <v>1942</v>
      </c>
      <c r="G358" s="8" t="n">
        <v>45364</v>
      </c>
      <c r="H358" s="7"/>
      <c r="I358" s="8"/>
      <c r="J358" s="7"/>
      <c r="K358" s="7" t="s">
        <v>245</v>
      </c>
      <c r="L358" s="7" t="s">
        <v>269</v>
      </c>
      <c r="M358" s="7" t="s">
        <v>244</v>
      </c>
      <c r="N358" s="7" t="n">
        <v>1</v>
      </c>
      <c r="O358" s="7" t="n">
        <v>1</v>
      </c>
      <c r="P358" s="7" t="str">
        <f aca="false">HYPERLINK("https://www.cqc.org.uk/location/1-18886225672","https://www.cqc.org.uk/location/1-18886225672")</f>
        <v>https://www.cqc.org.uk/location/1-18886225672</v>
      </c>
      <c r="Q358" s="7" t="s">
        <v>1943</v>
      </c>
      <c r="R358" s="8" t="n">
        <v>46266</v>
      </c>
      <c r="S358" s="8" t="n">
        <v>46267</v>
      </c>
      <c r="T358" s="8" t="n">
        <v>46273</v>
      </c>
      <c r="U358" s="7" t="n">
        <v>20873</v>
      </c>
    </row>
    <row r="359" customFormat="false" ht="2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